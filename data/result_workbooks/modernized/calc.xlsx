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GLOBA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<sst xmlns="http://schemas.openxmlformats.org/spreadsheetml/2006/main" count="235" uniqueCount="115">
  <si>
    <t xml:space="preserve">20-6040</t>
  </si>
  <si>
    <t xml:space="preserve">Qstd</t>
  </si>
  <si>
    <t xml:space="preserve">notQ</t>
  </si>
  <si>
    <t xml:space="preserve">tstd</t>
  </si>
  <si>
    <t xml:space="preserve">nott</t>
  </si>
  <si>
    <t xml:space="preserve">SECTION    1</t>
  </si>
  <si>
    <t xml:space="preserve">SECTION    2</t>
  </si>
  <si>
    <t xml:space="preserve">SECTION    3</t>
  </si>
  <si>
    <t xml:space="preserve">SECTION    4</t>
  </si>
  <si>
    <t xml:space="preserve">SECTION    5</t>
  </si>
  <si>
    <t xml:space="preserve">SECTION    6</t>
  </si>
  <si>
    <t xml:space="preserve">SECTION    7</t>
  </si>
  <si>
    <t xml:space="preserve">SECTION    8</t>
  </si>
  <si>
    <t xml:space="preserve">SECTION    9</t>
  </si>
  <si>
    <t xml:space="preserve">SECTION   10</t>
  </si>
  <si>
    <t xml:space="preserve">SECTION   11</t>
  </si>
  <si>
    <t xml:space="preserve">SECTION   12</t>
  </si>
  <si>
    <t xml:space="preserve">SECTION   13</t>
  </si>
  <si>
    <t xml:space="preserve">SECTION   15</t>
  </si>
  <si>
    <t xml:space="preserve">SECTION   16</t>
  </si>
  <si>
    <t xml:space="preserve">SECTION   17</t>
  </si>
  <si>
    <t xml:space="preserve">SECTION   18</t>
  </si>
  <si>
    <t xml:space="preserve">SECTION   19</t>
  </si>
  <si>
    <t xml:space="preserve">SECTION   20</t>
  </si>
  <si>
    <t xml:space="preserve">SECTION   21</t>
  </si>
  <si>
    <t xml:space="preserve">SECTION   22</t>
  </si>
  <si>
    <t xml:space="preserve">System</t>
  </si>
  <si>
    <t xml:space="preserve">Global St</t>
  </si>
  <si>
    <t xml:space="preserve">atistics</t>
  </si>
  <si>
    <t xml:space="preserve">Ti</t>
  </si>
  <si>
    <t xml:space="preserve">me : 02:00</t>
  </si>
  <si>
    <t xml:space="preserve">:00</t>
  </si>
  <si>
    <t xml:space="preserve">FLOW</t>
  </si>
  <si>
    <t xml:space="preserve">DENSTY</t>
  </si>
  <si>
    <t xml:space="preserve">SPEED</t>
  </si>
  <si>
    <t xml:space="preserve">H.SPEED</t>
  </si>
  <si>
    <t xml:space="preserve">TRAVEL T.</t>
  </si>
  <si>
    <t xml:space="preserve">DELAY T.</t>
  </si>
  <si>
    <t xml:space="preserve">STOP T.</t>
  </si>
  <si>
    <t xml:space="preserve">STOPS</t>
  </si>
  <si>
    <t xml:space="preserve">TRAVEL</t>
  </si>
  <si>
    <t xml:space="preserve">Veh/h</t>
  </si>
  <si>
    <t xml:space="preserve">veh/M</t>
  </si>
  <si>
    <t xml:space="preserve">Mph</t>
  </si>
  <si>
    <t xml:space="preserve">h:mm:ss</t>
  </si>
  <si>
    <t xml:space="preserve">#/Veh</t>
  </si>
  <si>
    <t xml:space="preserve">Mi</t>
  </si>
  <si>
    <t xml:space="preserve">-----</t>
  </si>
  <si>
    <t xml:space="preserve">------</t>
  </si>
  <si>
    <t xml:space="preserve">-------</t>
  </si>
  <si>
    <t xml:space="preserve">+</t>
  </si>
  <si>
    <t xml:space="preserve">All Sect</t>
  </si>
  <si>
    <t xml:space="preserve">ions</t>
  </si>
  <si>
    <t xml:space="preserve">Global</t>
  </si>
  <si>
    <t xml:space="preserve">Statistic</t>
  </si>
  <si>
    <t xml:space="preserve">s of Sectio</t>
  </si>
  <si>
    <t xml:space="preserve">n and Turn</t>
  </si>
  <si>
    <t xml:space="preserve">ings</t>
  </si>
  <si>
    <t xml:space="preserve">T</t>
  </si>
  <si>
    <t xml:space="preserve">ime : 02:0</t>
  </si>
  <si>
    <t xml:space="preserve">QUEUE LENGHT</t>
  </si>
  <si>
    <t xml:space="preserve">Mean / Max</t>
  </si>
  <si>
    <t xml:space="preserve">dummy</t>
  </si>
  <si>
    <t xml:space="preserve">Qstand</t>
  </si>
  <si>
    <t xml:space="preserve">tstand</t>
  </si>
  <si>
    <t xml:space="preserve">tsecstand</t>
  </si>
  <si>
    <t xml:space="preserve">t-section</t>
  </si>
  <si>
    <t xml:space="preserve">moe</t>
  </si>
  <si>
    <t xml:space="preserve">------------</t>
  </si>
  <si>
    <t xml:space="preserve">*</t>
  </si>
  <si>
    <t xml:space="preserve">32.8 / 64.3</t>
  </si>
  <si>
    <t xml:space="preserve">-</t>
  </si>
  <si>
    <t xml:space="preserve">TO    4</t>
  </si>
  <si>
    <t xml:space="preserve">20.5 / 46.5</t>
  </si>
  <si>
    <t xml:space="preserve">TO    3</t>
  </si>
  <si>
    <t xml:space="preserve">28.7 / 50.0</t>
  </si>
  <si>
    <t xml:space="preserve">77.1 /153.7</t>
  </si>
  <si>
    <t xml:space="preserve">TO    1</t>
  </si>
  <si>
    <t xml:space="preserve">4.8 /  8.0</t>
  </si>
  <si>
    <t xml:space="preserve">TO    5</t>
  </si>
  <si>
    <t xml:space="preserve">1.2 /  7.5</t>
  </si>
  <si>
    <t xml:space="preserve">TO    6</t>
  </si>
  <si>
    <t xml:space="preserve">4.6 /  7.5</t>
  </si>
  <si>
    <t xml:space="preserve">TO    7</t>
  </si>
  <si>
    <t xml:space="preserve">1.4 /  7.0</t>
  </si>
  <si>
    <t xml:space="preserve">TO    8</t>
  </si>
  <si>
    <t xml:space="preserve">5.1 /  8.0</t>
  </si>
  <si>
    <t xml:space="preserve">TO   12</t>
  </si>
  <si>
    <t xml:space="preserve">1.5 /  8.0</t>
  </si>
  <si>
    <t xml:space="preserve">TO   10</t>
  </si>
  <si>
    <t xml:space="preserve">48.3 / 75.0</t>
  </si>
  <si>
    <t xml:space="preserve">5.0 / 29.0</t>
  </si>
  <si>
    <t xml:space="preserve">TO   17</t>
  </si>
  <si>
    <t xml:space="preserve">5.6 / 34.5</t>
  </si>
  <si>
    <t xml:space="preserve">157.1 /305.0</t>
  </si>
  <si>
    <t xml:space="preserve">23.2 / 35.3</t>
  </si>
  <si>
    <t xml:space="preserve">TO   13</t>
  </si>
  <si>
    <t xml:space="preserve">28.2 / 44.0</t>
  </si>
  <si>
    <t xml:space="preserve">9.6 / 17.0</t>
  </si>
  <si>
    <t xml:space="preserve">TO   18</t>
  </si>
  <si>
    <t xml:space="preserve">8.3 / 16.5</t>
  </si>
  <si>
    <t xml:space="preserve">193.3 /376.0</t>
  </si>
  <si>
    <t xml:space="preserve">0.0 /  0.0</t>
  </si>
  <si>
    <t xml:space="preserve">1.6 / 20.0</t>
  </si>
  <si>
    <t xml:space="preserve">TO   19</t>
  </si>
  <si>
    <t xml:space="preserve">2.0 / 22.0</t>
  </si>
  <si>
    <t xml:space="preserve">0.4 /  7.5</t>
  </si>
  <si>
    <t xml:space="preserve">TO   20</t>
  </si>
  <si>
    <t xml:space="preserve">1.7 /  9.0</t>
  </si>
  <si>
    <t xml:space="preserve">TO   21</t>
  </si>
  <si>
    <t xml:space="preserve">0.6 /  9.5</t>
  </si>
  <si>
    <t xml:space="preserve">TO   22</t>
  </si>
  <si>
    <t xml:space="preserve">3.4 / 12.5</t>
  </si>
  <si>
    <t xml:space="preserve">2.1 /  4.0</t>
  </si>
  <si>
    <t xml:space="preserve">TO EXIT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</si>
</sst>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-C09]h:mm"/>
    <numFmt numFmtId="167" formatCode="[$-C09]h:mm:ss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" customHeight="false" zeroHeight="false" outlineLevelRow="0" outlineLevelCol="0"/>
  <sheetData>
    <row r="2" customFormat="false" ht="12" hidden="false" customHeight="false" outlineLevel="0" collapsed="false">
      <c r="D2" s="1" t="s">
        <v>0</v>
      </c>
    </row>
    <row r="3" customFormat="false" ht="12" hidden="false" customHeight="false" outlineLevel="0" collapsed="false">
      <c r="C3" s="1" t="s">
        <v>1</v>
      </c>
      <c r="D3" s="1" t="s">
        <v>2</v>
      </c>
      <c r="E3" s="1" t="s">
        <v>3</v>
      </c>
      <c r="F3" s="1" t="s">
        <v>4</v>
      </c>
    </row>
    <row r="6" customFormat="false" ht="12" hidden="false" customHeight="false" outlineLevel="0" collapsed="false">
      <c r="B6" s="1" t="s">
        <v>5</v>
      </c>
      <c r="C6" s="1" t="n">
        <v>2949</v>
      </c>
      <c r="D6" s="1" t="n">
        <v>2887</v>
      </c>
      <c r="E6" s="1" t="n">
        <v>156</v>
      </c>
      <c r="F6" s="1" t="n">
        <v>159</v>
      </c>
    </row>
    <row r="7" customFormat="false" ht="12" hidden="false" customHeight="false" outlineLevel="0" collapsed="false">
      <c r="B7" s="1" t="s">
        <v>6</v>
      </c>
      <c r="C7" s="1" t="n">
        <v>2979</v>
      </c>
      <c r="D7" s="1" t="n">
        <v>2927</v>
      </c>
      <c r="E7" s="1" t="n">
        <v>368</v>
      </c>
      <c r="F7" s="1" t="n">
        <v>380</v>
      </c>
    </row>
    <row r="8" customFormat="false" ht="12" hidden="false" customHeight="false" outlineLevel="0" collapsed="false">
      <c r="B8" s="1" t="s">
        <v>7</v>
      </c>
      <c r="C8" s="1" t="n">
        <v>1444</v>
      </c>
      <c r="D8" s="1" t="n">
        <v>1453</v>
      </c>
      <c r="E8" s="1" t="n">
        <v>29</v>
      </c>
      <c r="F8" s="1" t="n">
        <v>30</v>
      </c>
    </row>
    <row r="9" customFormat="false" ht="12" hidden="false" customHeight="false" outlineLevel="0" collapsed="false">
      <c r="B9" s="1" t="s">
        <v>8</v>
      </c>
      <c r="C9" s="1" t="n">
        <v>1504</v>
      </c>
      <c r="D9" s="1" t="n">
        <v>1435</v>
      </c>
      <c r="E9" s="1" t="n">
        <v>12</v>
      </c>
      <c r="F9" s="1" t="n">
        <v>9</v>
      </c>
    </row>
    <row r="10" customFormat="false" ht="12" hidden="false" customHeight="false" outlineLevel="0" collapsed="false">
      <c r="B10" s="1" t="s">
        <v>9</v>
      </c>
      <c r="C10" s="1" t="n">
        <v>1442</v>
      </c>
      <c r="D10" s="1" t="n">
        <v>1452</v>
      </c>
      <c r="E10" s="1" t="n">
        <v>28</v>
      </c>
      <c r="F10" s="1" t="n">
        <v>28</v>
      </c>
    </row>
    <row r="11" customFormat="false" ht="12" hidden="false" customHeight="false" outlineLevel="0" collapsed="false">
      <c r="B11" s="1" t="s">
        <v>10</v>
      </c>
      <c r="C11" s="1" t="n">
        <v>1505</v>
      </c>
      <c r="D11" s="1" t="n">
        <v>1437</v>
      </c>
      <c r="E11" s="1" t="n">
        <v>15</v>
      </c>
      <c r="F11" s="1" t="n">
        <v>10</v>
      </c>
    </row>
    <row r="12" customFormat="false" ht="12" hidden="false" customHeight="false" outlineLevel="0" collapsed="false">
      <c r="B12" s="1" t="s">
        <v>11</v>
      </c>
      <c r="C12" s="1" t="n">
        <v>1441</v>
      </c>
      <c r="D12" s="1" t="n">
        <v>1452</v>
      </c>
      <c r="E12" s="1" t="n">
        <v>31</v>
      </c>
      <c r="F12" s="1" t="n">
        <v>31</v>
      </c>
    </row>
    <row r="13" customFormat="false" ht="12" hidden="false" customHeight="false" outlineLevel="0" collapsed="false">
      <c r="B13" s="1" t="s">
        <v>12</v>
      </c>
      <c r="C13" s="1" t="n">
        <v>1504</v>
      </c>
      <c r="D13" s="1" t="n">
        <v>1437</v>
      </c>
      <c r="E13" s="1" t="n">
        <v>19</v>
      </c>
      <c r="F13" s="1" t="n">
        <v>12</v>
      </c>
    </row>
    <row r="14" customFormat="false" ht="12" hidden="false" customHeight="false" outlineLevel="0" collapsed="false">
      <c r="B14" s="1" t="s">
        <v>13</v>
      </c>
      <c r="C14" s="1" t="n">
        <v>503</v>
      </c>
      <c r="D14" s="1" t="n">
        <v>557</v>
      </c>
      <c r="E14" s="1" t="n">
        <v>777</v>
      </c>
      <c r="F14" s="1" t="n">
        <v>419</v>
      </c>
    </row>
    <row r="15" customFormat="false" ht="12" hidden="false" customHeight="false" outlineLevel="0" collapsed="false">
      <c r="B15" s="1" t="s">
        <v>14</v>
      </c>
      <c r="C15" s="1" t="n">
        <v>2008</v>
      </c>
      <c r="D15" s="1" t="n">
        <v>1993</v>
      </c>
      <c r="E15" s="1" t="n">
        <v>112</v>
      </c>
      <c r="F15" s="1" t="n">
        <v>94</v>
      </c>
    </row>
    <row r="16" customFormat="false" ht="12" hidden="false" customHeight="false" outlineLevel="0" collapsed="false">
      <c r="B16" s="1" t="s">
        <v>15</v>
      </c>
      <c r="C16" s="1" t="n">
        <v>465</v>
      </c>
      <c r="D16" s="1" t="n">
        <v>489</v>
      </c>
      <c r="E16" s="1" t="n">
        <v>1076</v>
      </c>
      <c r="F16" s="1" t="n">
        <v>948</v>
      </c>
    </row>
    <row r="17" customFormat="false" ht="12" hidden="false" customHeight="false" outlineLevel="0" collapsed="false">
      <c r="B17" s="1" t="s">
        <v>16</v>
      </c>
      <c r="C17" s="1" t="n">
        <v>1907</v>
      </c>
      <c r="D17" s="1" t="n">
        <v>1940</v>
      </c>
      <c r="E17" s="1" t="n">
        <v>162</v>
      </c>
      <c r="F17" s="1" t="n">
        <v>155</v>
      </c>
    </row>
    <row r="18" customFormat="false" ht="12" hidden="false" customHeight="false" outlineLevel="0" collapsed="false">
      <c r="B18" s="1" t="s">
        <v>17</v>
      </c>
      <c r="C18" s="1" t="n">
        <v>2416</v>
      </c>
      <c r="D18" s="1" t="n">
        <v>2447</v>
      </c>
      <c r="E18" s="1" t="n">
        <v>54</v>
      </c>
      <c r="F18" s="1" t="n">
        <v>52</v>
      </c>
    </row>
    <row r="19" customFormat="false" ht="12" hidden="false" customHeight="false" outlineLevel="0" collapsed="false">
      <c r="B19" s="1" t="s">
        <v>18</v>
      </c>
      <c r="C19" s="1" t="n">
        <v>510</v>
      </c>
      <c r="D19" s="1" t="n">
        <v>509</v>
      </c>
      <c r="E19" s="1" t="n">
        <v>946</v>
      </c>
      <c r="F19" s="1" t="n">
        <v>856</v>
      </c>
    </row>
    <row r="20" customFormat="false" ht="12" hidden="false" customHeight="false" outlineLevel="0" collapsed="false">
      <c r="B20" s="1" t="s">
        <v>19</v>
      </c>
      <c r="C20" s="1" t="n">
        <v>597</v>
      </c>
      <c r="D20" s="1" t="n">
        <v>593</v>
      </c>
      <c r="E20" s="1" t="n">
        <v>364</v>
      </c>
      <c r="F20" s="1" t="n">
        <v>113</v>
      </c>
    </row>
    <row r="21" customFormat="false" ht="12" hidden="false" customHeight="false" outlineLevel="0" collapsed="false">
      <c r="B21" s="1" t="s">
        <v>20</v>
      </c>
      <c r="C21" s="1" t="n">
        <v>2610</v>
      </c>
      <c r="D21" s="1" t="n">
        <v>2586</v>
      </c>
      <c r="E21" s="1" t="n">
        <v>41</v>
      </c>
      <c r="F21" s="1" t="n">
        <v>40</v>
      </c>
    </row>
    <row r="22" customFormat="false" ht="12" hidden="false" customHeight="false" outlineLevel="0" collapsed="false">
      <c r="B22" s="1" t="s">
        <v>21</v>
      </c>
      <c r="C22" s="1" t="n">
        <v>2414</v>
      </c>
      <c r="D22" s="1" t="n">
        <v>2447</v>
      </c>
      <c r="E22" s="1" t="n">
        <v>11</v>
      </c>
      <c r="F22" s="1" t="n">
        <v>11</v>
      </c>
    </row>
    <row r="23" customFormat="false" ht="12" hidden="false" customHeight="false" outlineLevel="0" collapsed="false">
      <c r="B23" s="1" t="s">
        <v>22</v>
      </c>
      <c r="C23" s="1" t="n">
        <v>2608</v>
      </c>
      <c r="D23" s="1" t="n">
        <v>2587</v>
      </c>
      <c r="E23" s="1" t="n">
        <v>11</v>
      </c>
      <c r="F23" s="1" t="n">
        <v>11</v>
      </c>
    </row>
    <row r="24" customFormat="false" ht="12" hidden="false" customHeight="false" outlineLevel="0" collapsed="false">
      <c r="B24" s="1" t="s">
        <v>23</v>
      </c>
      <c r="C24" s="1" t="n">
        <v>2414</v>
      </c>
      <c r="D24" s="1" t="n">
        <v>2445</v>
      </c>
      <c r="E24" s="1" t="n">
        <v>14</v>
      </c>
      <c r="F24" s="1" t="n">
        <v>14</v>
      </c>
    </row>
    <row r="25" customFormat="false" ht="12" hidden="false" customHeight="false" outlineLevel="0" collapsed="false">
      <c r="B25" s="1" t="s">
        <v>24</v>
      </c>
      <c r="C25" s="1" t="n">
        <v>2609</v>
      </c>
      <c r="D25" s="1" t="n">
        <v>2589</v>
      </c>
      <c r="E25" s="1" t="n">
        <v>15</v>
      </c>
      <c r="F25" s="1" t="n">
        <v>15</v>
      </c>
    </row>
    <row r="26" customFormat="false" ht="12" hidden="false" customHeight="false" outlineLevel="0" collapsed="false">
      <c r="B26" s="1" t="s">
        <v>25</v>
      </c>
      <c r="C26" s="1" t="n">
        <v>5023</v>
      </c>
      <c r="D26" s="1" t="n">
        <v>5034</v>
      </c>
      <c r="E26" s="1" t="n">
        <v>9</v>
      </c>
      <c r="F26" s="1" t="n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I46" activeCellId="0" sqref="I46"/>
    </sheetView>
  </sheetViews>
  <sheetFormatPr defaultColWidth="8.82421875" defaultRowHeight="12" customHeight="false" zeroHeight="false" outlineLevelRow="0" outlineLevelCol="0"/>
  <cols>
    <col collapsed="false" customWidth="true" hidden="false" outlineLevel="0" max="1" min="1" style="0" width="11.05"/>
    <col collapsed="false" customWidth="true" hidden="false" outlineLevel="0" max="2" min="2" style="1" width="10.82"/>
    <col collapsed="false" customWidth="true" hidden="false" outlineLevel="0" max="12" min="3" style="0" width="11.05"/>
    <col collapsed="false" customWidth="true" hidden="false" outlineLevel="0" max="13" min="13" style="1" width="3.32"/>
    <col collapsed="false" customWidth="true" hidden="false" outlineLevel="0" max="15" min="14" style="0" width="11.05"/>
    <col collapsed="false" customWidth="false" hidden="false" outlineLevel="0" max="17" min="16" style="2" width="8.82"/>
    <col collapsed="false" customWidth="false" hidden="false" outlineLevel="0" max="257" min="18" style="1" width="8.82"/>
  </cols>
  <sheetData>
    <row r="1" customFormat="false" ht="12" hidden="false" customHeight="false" outlineLevel="0" collapsed="false">
      <c r="E1" s="1" t="s">
        <v>26</v>
      </c>
      <c r="F1" s="1" t="s">
        <v>27</v>
      </c>
      <c r="G1" s="1" t="s">
        <v>28</v>
      </c>
    </row>
    <row r="2" customFormat="false" ht="12" hidden="false" customHeight="false" outlineLevel="0" collapsed="false">
      <c r="E2" s="1" t="s">
        <v>29</v>
      </c>
      <c r="F2" s="1" t="s">
        <v>30</v>
      </c>
      <c r="G2" s="1" t="s">
        <v>31</v>
      </c>
      <c r="O2" s="3"/>
    </row>
    <row r="4" customFormat="false" ht="12" hidden="false" customHeight="false" outlineLevel="0" collapsed="false"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</row>
    <row r="6" customFormat="false" ht="12" hidden="false" customHeight="false" outlineLevel="0" collapsed="false">
      <c r="C6" s="1" t="s">
        <v>41</v>
      </c>
      <c r="D6" s="1" t="s">
        <v>42</v>
      </c>
      <c r="E6" s="1" t="s">
        <v>43</v>
      </c>
      <c r="F6" s="1" t="s">
        <v>43</v>
      </c>
      <c r="G6" s="1" t="s">
        <v>44</v>
      </c>
      <c r="H6" s="1" t="s">
        <v>44</v>
      </c>
      <c r="I6" s="1" t="s">
        <v>44</v>
      </c>
      <c r="J6" s="1" t="s">
        <v>45</v>
      </c>
      <c r="K6" s="1" t="s">
        <v>46</v>
      </c>
    </row>
    <row r="7" customFormat="false" ht="12" hidden="false" customHeight="false" outlineLevel="0" collapsed="false">
      <c r="C7" s="1" t="s">
        <v>47</v>
      </c>
      <c r="D7" s="1" t="s">
        <v>48</v>
      </c>
      <c r="E7" s="1" t="s">
        <v>47</v>
      </c>
      <c r="F7" s="1" t="s">
        <v>47</v>
      </c>
      <c r="G7" s="1" t="s">
        <v>49</v>
      </c>
      <c r="H7" s="1" t="s">
        <v>49</v>
      </c>
      <c r="I7" s="1" t="s">
        <v>49</v>
      </c>
      <c r="J7" s="1" t="s">
        <v>47</v>
      </c>
      <c r="K7" s="1" t="s">
        <v>49</v>
      </c>
    </row>
    <row r="9" customFormat="false" ht="12" hidden="false" customHeight="false" outlineLevel="0" collapsed="false">
      <c r="A9" s="1" t="s">
        <v>50</v>
      </c>
      <c r="B9" s="1" t="s">
        <v>26</v>
      </c>
      <c r="C9" s="1" t="n">
        <v>4154</v>
      </c>
      <c r="D9" s="1" t="n">
        <v>115.9</v>
      </c>
      <c r="E9" s="1" t="n">
        <v>13</v>
      </c>
      <c r="F9" s="1" t="n">
        <v>7.4</v>
      </c>
      <c r="G9" s="4" t="n">
        <v>0.00217592592592593</v>
      </c>
      <c r="H9" s="4" t="n">
        <v>0.00177083333333333</v>
      </c>
      <c r="I9" s="4" t="n">
        <v>0.00158564814814815</v>
      </c>
      <c r="J9" s="1" t="n">
        <v>8</v>
      </c>
      <c r="K9" s="1" t="n">
        <v>12411.9</v>
      </c>
      <c r="O9" s="4"/>
    </row>
    <row r="12" customFormat="false" ht="13" hidden="false" customHeight="true" outlineLevel="0" collapsed="false"/>
    <row r="14" customFormat="false" ht="12" hidden="false" customHeight="false" outlineLevel="0" collapsed="false">
      <c r="F14" s="1" t="s">
        <v>51</v>
      </c>
      <c r="G14" s="1" t="s">
        <v>52</v>
      </c>
    </row>
    <row r="15" customFormat="false" ht="12" hidden="false" customHeight="false" outlineLevel="0" collapsed="false">
      <c r="E15" s="1" t="s">
        <v>53</v>
      </c>
      <c r="F15" s="1" t="s">
        <v>54</v>
      </c>
      <c r="G15" s="1" t="s">
        <v>55</v>
      </c>
      <c r="H15" s="1" t="s">
        <v>56</v>
      </c>
      <c r="I15" s="1" t="s">
        <v>57</v>
      </c>
    </row>
    <row r="16" customFormat="false" ht="12" hidden="false" customHeight="false" outlineLevel="0" collapsed="false">
      <c r="E16" s="1" t="s">
        <v>58</v>
      </c>
      <c r="F16" s="1" t="s">
        <v>59</v>
      </c>
      <c r="G16" s="3" t="n">
        <v>0</v>
      </c>
      <c r="O16" s="3"/>
    </row>
    <row r="18" customFormat="false" ht="12" hidden="false" customHeight="false" outlineLevel="0" collapsed="false"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37</v>
      </c>
      <c r="I18" s="1" t="s">
        <v>38</v>
      </c>
      <c r="J18" s="1" t="s">
        <v>39</v>
      </c>
      <c r="K18" s="1" t="s">
        <v>60</v>
      </c>
      <c r="L18" s="1" t="s">
        <v>40</v>
      </c>
    </row>
    <row r="20" customFormat="false" ht="12" hidden="false" customHeight="false" outlineLevel="0" collapsed="false">
      <c r="C20" s="1" t="s">
        <v>41</v>
      </c>
      <c r="D20" s="1" t="s">
        <v>42</v>
      </c>
      <c r="E20" s="1" t="s">
        <v>43</v>
      </c>
      <c r="F20" s="1" t="s">
        <v>43</v>
      </c>
      <c r="G20" s="1" t="s">
        <v>44</v>
      </c>
      <c r="H20" s="1" t="s">
        <v>44</v>
      </c>
      <c r="I20" s="1" t="s">
        <v>44</v>
      </c>
      <c r="J20" s="1" t="s">
        <v>45</v>
      </c>
      <c r="K20" s="1" t="s">
        <v>61</v>
      </c>
      <c r="L20" s="1" t="s">
        <v>46</v>
      </c>
      <c r="M20" s="1" t="s">
        <v>62</v>
      </c>
      <c r="N20" s="1" t="s">
        <v>63</v>
      </c>
      <c r="O20" s="1" t="s">
        <v>64</v>
      </c>
      <c r="P20" s="2" t="s">
        <v>65</v>
      </c>
      <c r="Q20" s="2" t="s">
        <v>66</v>
      </c>
      <c r="R20" s="1" t="s">
        <v>67</v>
      </c>
    </row>
    <row r="21" customFormat="false" ht="12" hidden="false" customHeight="false" outlineLevel="0" collapsed="false">
      <c r="C21" s="1" t="s">
        <v>47</v>
      </c>
      <c r="D21" s="1" t="s">
        <v>48</v>
      </c>
      <c r="E21" s="1" t="s">
        <v>47</v>
      </c>
      <c r="F21" s="1" t="s">
        <v>47</v>
      </c>
      <c r="G21" s="1" t="s">
        <v>49</v>
      </c>
      <c r="H21" s="1" t="s">
        <v>49</v>
      </c>
      <c r="I21" s="1" t="s">
        <v>49</v>
      </c>
      <c r="J21" s="1" t="s">
        <v>47</v>
      </c>
      <c r="K21" s="1" t="s">
        <v>68</v>
      </c>
      <c r="L21" s="1" t="s">
        <v>48</v>
      </c>
    </row>
    <row r="23" customFormat="false" ht="12" hidden="false" customHeight="false" outlineLevel="0" collapsed="false">
      <c r="A23" s="1" t="s">
        <v>69</v>
      </c>
      <c r="B23" s="1" t="s">
        <v>5</v>
      </c>
      <c r="C23" s="1" t="n">
        <v>2523</v>
      </c>
      <c r="D23" s="1" t="n">
        <v>161.9</v>
      </c>
      <c r="E23" s="1" t="n">
        <v>8</v>
      </c>
      <c r="F23" s="1" t="n">
        <v>4.7</v>
      </c>
      <c r="G23" s="4" t="n">
        <v>0.00229166666666667</v>
      </c>
      <c r="H23" s="4" t="n">
        <v>0.00208333333333333</v>
      </c>
      <c r="I23" s="4" t="n">
        <v>0.00181712962962963</v>
      </c>
      <c r="J23" s="1" t="n">
        <v>8.8</v>
      </c>
      <c r="K23" s="1" t="s">
        <v>70</v>
      </c>
      <c r="L23" s="1" t="n">
        <v>1300.7</v>
      </c>
      <c r="M23" s="1" t="n">
        <v>1</v>
      </c>
      <c r="N23" s="1" t="n">
        <v>4442</v>
      </c>
      <c r="O23" s="4" t="n">
        <v>0.00107638888888889</v>
      </c>
      <c r="P23" s="2" t="n">
        <f aca="false">MINUTE(O23)*60+SECOND(O23)</f>
        <v>93</v>
      </c>
      <c r="Q23" s="2" t="n">
        <f aca="false">MINUTE(G23)*60+SECOND(G23)</f>
        <v>198</v>
      </c>
      <c r="R23" s="1" t="n">
        <f aca="false">M23*(N23+C23)*(P23-Q23)/3600</f>
        <v>-203.145833333333</v>
      </c>
    </row>
    <row r="24" customFormat="false" ht="12" hidden="false" customHeight="false" outlineLevel="0" collapsed="false">
      <c r="A24" s="1" t="s">
        <v>71</v>
      </c>
      <c r="B24" s="1" t="s">
        <v>72</v>
      </c>
      <c r="C24" s="1" t="n">
        <v>1016</v>
      </c>
      <c r="E24" s="1" t="n">
        <v>11.4</v>
      </c>
      <c r="F24" s="1" t="n">
        <v>8.2</v>
      </c>
      <c r="G24" s="4" t="n">
        <v>0.00130787037037037</v>
      </c>
      <c r="H24" s="4" t="n">
        <v>0.00108796296296296</v>
      </c>
      <c r="I24" s="4" t="n">
        <v>0.000717592592592593</v>
      </c>
      <c r="J24" s="1" t="n">
        <v>8.7</v>
      </c>
      <c r="K24" s="1" t="s">
        <v>73</v>
      </c>
      <c r="L24" s="1" t="n">
        <v>523.5</v>
      </c>
      <c r="M24" s="1" t="n">
        <v>0</v>
      </c>
      <c r="N24" s="1" t="n">
        <v>2183</v>
      </c>
      <c r="O24" s="4" t="n">
        <v>0.00116898148148148</v>
      </c>
      <c r="P24" s="2" t="n">
        <f aca="false">MINUTE(O24)*60+SECOND(O24)</f>
        <v>101</v>
      </c>
      <c r="Q24" s="2" t="n">
        <f aca="false">MINUTE(G24)*60+SECOND(G24)</f>
        <v>113</v>
      </c>
      <c r="R24" s="1" t="n">
        <f aca="false">M24*(N24+C24)*(P24-Q24)/3600</f>
        <v>-0</v>
      </c>
    </row>
    <row r="25" customFormat="false" ht="12" hidden="false" customHeight="false" outlineLevel="0" collapsed="false">
      <c r="A25" s="1" t="s">
        <v>71</v>
      </c>
      <c r="B25" s="1" t="s">
        <v>74</v>
      </c>
      <c r="C25" s="1" t="n">
        <v>1508</v>
      </c>
      <c r="E25" s="1" t="n">
        <v>5.7</v>
      </c>
      <c r="F25" s="1" t="n">
        <v>3.6</v>
      </c>
      <c r="G25" s="4" t="n">
        <v>0.00296296296296296</v>
      </c>
      <c r="H25" s="4" t="n">
        <v>0.00274305555555556</v>
      </c>
      <c r="I25" s="4" t="n">
        <v>0.00255787037037037</v>
      </c>
      <c r="J25" s="1" t="n">
        <v>8.8</v>
      </c>
      <c r="K25" s="1" t="s">
        <v>75</v>
      </c>
      <c r="L25" s="1" t="n">
        <v>777.2</v>
      </c>
      <c r="M25" s="1" t="n">
        <v>0</v>
      </c>
      <c r="N25" s="1" t="n">
        <v>2259</v>
      </c>
      <c r="O25" s="4" t="n">
        <v>0.000983796296296296</v>
      </c>
      <c r="P25" s="2" t="n">
        <f aca="false">MINUTE(O25)*60+SECOND(O25)</f>
        <v>85</v>
      </c>
      <c r="Q25" s="2" t="n">
        <f aca="false">MINUTE(G25)*60+SECOND(G25)</f>
        <v>256</v>
      </c>
      <c r="R25" s="1" t="n">
        <f aca="false">M25*(N25+C25)*(P25-Q25)/3600</f>
        <v>-0</v>
      </c>
    </row>
    <row r="26" customFormat="false" ht="12" hidden="false" customHeight="false" outlineLevel="0" collapsed="false">
      <c r="M26" s="1" t="n">
        <v>0</v>
      </c>
      <c r="P26" s="2" t="n">
        <f aca="false">MINUTE(O26)*60+SECOND(O26)</f>
        <v>0</v>
      </c>
      <c r="Q26" s="2" t="n">
        <f aca="false">MINUTE(G26)*60+SECOND(G26)</f>
        <v>0</v>
      </c>
      <c r="R26" s="1" t="n">
        <f aca="false">M26*(N26+C26)*(P26-Q26)/3600</f>
        <v>0</v>
      </c>
    </row>
    <row r="27" customFormat="false" ht="12" hidden="false" customHeight="false" outlineLevel="0" collapsed="false">
      <c r="M27" s="1" t="n">
        <v>0</v>
      </c>
      <c r="P27" s="2" t="n">
        <f aca="false">MINUTE(O27)*60+SECOND(O27)</f>
        <v>0</v>
      </c>
      <c r="Q27" s="2" t="n">
        <f aca="false">MINUTE(G27)*60+SECOND(G27)</f>
        <v>0</v>
      </c>
      <c r="R27" s="1" t="n">
        <f aca="false">M27*(N27+C27)*(P27-Q27)/3600</f>
        <v>0</v>
      </c>
    </row>
    <row r="28" customFormat="false" ht="12" hidden="false" customHeight="false" outlineLevel="0" collapsed="false">
      <c r="A28" s="1" t="s">
        <v>69</v>
      </c>
      <c r="B28" s="1" t="s">
        <v>6</v>
      </c>
      <c r="C28" s="1" t="n">
        <v>2570</v>
      </c>
      <c r="D28" s="1" t="n">
        <v>165.1</v>
      </c>
      <c r="E28" s="1" t="n">
        <v>6.4</v>
      </c>
      <c r="F28" s="1" t="n">
        <v>4.7</v>
      </c>
      <c r="G28" s="4" t="n">
        <v>0.00547453703703704</v>
      </c>
      <c r="H28" s="4" t="n">
        <v>0.0046412037037037</v>
      </c>
      <c r="I28" s="4" t="n">
        <v>0.00413194444444444</v>
      </c>
      <c r="J28" s="1" t="n">
        <v>24.4</v>
      </c>
      <c r="K28" s="1" t="s">
        <v>76</v>
      </c>
      <c r="L28" s="1" t="n">
        <v>3190.2</v>
      </c>
      <c r="M28" s="1" t="n">
        <v>1</v>
      </c>
      <c r="N28" s="1" t="n">
        <v>4484</v>
      </c>
      <c r="O28" s="4" t="n">
        <v>0.00255787037037037</v>
      </c>
      <c r="P28" s="2" t="n">
        <f aca="false">MINUTE(O28)*60+SECOND(O28)</f>
        <v>221</v>
      </c>
      <c r="Q28" s="2" t="n">
        <f aca="false">MINUTE(G28)*60+SECOND(G28)</f>
        <v>473</v>
      </c>
      <c r="R28" s="1" t="n">
        <f aca="false">M28*(N28+C28)*(P28-Q28)/3600</f>
        <v>-493.78</v>
      </c>
    </row>
    <row r="29" customFormat="false" ht="12" hidden="false" customHeight="false" outlineLevel="0" collapsed="false">
      <c r="A29" s="1" t="s">
        <v>71</v>
      </c>
      <c r="B29" s="1" t="s">
        <v>77</v>
      </c>
      <c r="C29" s="1" t="n">
        <v>2570</v>
      </c>
      <c r="E29" s="1" t="n">
        <v>6.4</v>
      </c>
      <c r="F29" s="1" t="n">
        <v>4.7</v>
      </c>
      <c r="G29" s="4" t="n">
        <v>0.00547453703703704</v>
      </c>
      <c r="H29" s="4" t="n">
        <v>0.0046412037037037</v>
      </c>
      <c r="I29" s="4" t="n">
        <v>0.00413194444444444</v>
      </c>
      <c r="J29" s="1" t="n">
        <v>24.4</v>
      </c>
      <c r="K29" s="1" t="s">
        <v>76</v>
      </c>
      <c r="L29" s="1" t="n">
        <v>3190.2</v>
      </c>
      <c r="M29" s="1" t="n">
        <v>0</v>
      </c>
      <c r="N29" s="1" t="n">
        <v>4484</v>
      </c>
      <c r="O29" s="4" t="n">
        <v>0.00255787037037037</v>
      </c>
      <c r="P29" s="2" t="n">
        <f aca="false">MINUTE(O29)*60+SECOND(O29)</f>
        <v>221</v>
      </c>
      <c r="Q29" s="2" t="n">
        <f aca="false">MINUTE(G29)*60+SECOND(G29)</f>
        <v>473</v>
      </c>
      <c r="R29" s="1" t="n">
        <f aca="false">M29*(N29+C29)*(P29-Q29)/3600</f>
        <v>-0</v>
      </c>
    </row>
    <row r="30" customFormat="false" ht="12" hidden="false" customHeight="false" outlineLevel="0" collapsed="false">
      <c r="M30" s="1" t="n">
        <v>0</v>
      </c>
      <c r="P30" s="2" t="n">
        <f aca="false">MINUTE(O30)*60+SECOND(O30)</f>
        <v>0</v>
      </c>
      <c r="Q30" s="2" t="n">
        <f aca="false">MINUTE(G30)*60+SECOND(G30)</f>
        <v>0</v>
      </c>
      <c r="R30" s="1" t="n">
        <f aca="false">M30*(N30+C30)*(P30-Q30)/3600</f>
        <v>0</v>
      </c>
    </row>
    <row r="31" customFormat="false" ht="12" hidden="false" customHeight="false" outlineLevel="0" collapsed="false">
      <c r="M31" s="1" t="n">
        <v>0</v>
      </c>
      <c r="P31" s="2" t="n">
        <f aca="false">MINUTE(O31)*60+SECOND(O31)</f>
        <v>0</v>
      </c>
      <c r="Q31" s="2" t="n">
        <f aca="false">MINUTE(G31)*60+SECOND(G31)</f>
        <v>0</v>
      </c>
      <c r="R31" s="1" t="n">
        <f aca="false">M31*(N31+C31)*(P31-Q31)/3600</f>
        <v>0</v>
      </c>
    </row>
    <row r="32" customFormat="false" ht="12" hidden="false" customHeight="false" outlineLevel="0" collapsed="false">
      <c r="A32" s="1" t="s">
        <v>69</v>
      </c>
      <c r="B32" s="1" t="s">
        <v>7</v>
      </c>
      <c r="C32" s="1" t="n">
        <v>1505</v>
      </c>
      <c r="D32" s="1" t="n">
        <v>173.5</v>
      </c>
      <c r="E32" s="1" t="n">
        <v>4.2</v>
      </c>
      <c r="F32" s="1" t="n">
        <v>3.9</v>
      </c>
      <c r="G32" s="4" t="n">
        <v>0.000324074074074074</v>
      </c>
      <c r="H32" s="4" t="n">
        <v>0.000300925925925926</v>
      </c>
      <c r="I32" s="4" t="n">
        <v>0.000300925925925926</v>
      </c>
      <c r="J32" s="1" t="n">
        <v>2.6</v>
      </c>
      <c r="K32" s="1" t="s">
        <v>78</v>
      </c>
      <c r="L32" s="1" t="n">
        <v>92.3</v>
      </c>
      <c r="M32" s="1" t="n">
        <v>1</v>
      </c>
      <c r="N32" s="1" t="n">
        <v>2262</v>
      </c>
      <c r="O32" s="4" t="n">
        <v>0.000138888888888889</v>
      </c>
      <c r="P32" s="2" t="n">
        <f aca="false">MINUTE(O32)*60+SECOND(O32)</f>
        <v>12</v>
      </c>
      <c r="Q32" s="2" t="n">
        <f aca="false">MINUTE(G32)*60+SECOND(G32)</f>
        <v>28</v>
      </c>
      <c r="R32" s="1" t="n">
        <f aca="false">M32*(N32+C32)*(P32-Q32)/3600</f>
        <v>-16.7422222222222</v>
      </c>
    </row>
    <row r="33" customFormat="false" ht="12" hidden="false" customHeight="false" outlineLevel="0" collapsed="false">
      <c r="A33" s="1" t="s">
        <v>71</v>
      </c>
      <c r="B33" s="1" t="s">
        <v>79</v>
      </c>
      <c r="C33" s="1" t="n">
        <v>1505</v>
      </c>
      <c r="E33" s="1" t="n">
        <v>4.2</v>
      </c>
      <c r="F33" s="1" t="n">
        <v>3.9</v>
      </c>
      <c r="G33" s="4" t="n">
        <v>0.000324074074074074</v>
      </c>
      <c r="H33" s="4" t="n">
        <v>0.000300925925925926</v>
      </c>
      <c r="I33" s="4" t="n">
        <v>0.000300925925925926</v>
      </c>
      <c r="J33" s="1" t="n">
        <v>2.6</v>
      </c>
      <c r="K33" s="1" t="s">
        <v>78</v>
      </c>
      <c r="L33" s="1" t="n">
        <v>92.3</v>
      </c>
      <c r="M33" s="1" t="n">
        <v>0</v>
      </c>
      <c r="N33" s="1" t="n">
        <v>2262</v>
      </c>
      <c r="O33" s="4" t="n">
        <v>0.000138888888888889</v>
      </c>
      <c r="P33" s="2" t="n">
        <f aca="false">MINUTE(O33)*60+SECOND(O33)</f>
        <v>12</v>
      </c>
      <c r="Q33" s="2" t="n">
        <f aca="false">MINUTE(G33)*60+SECOND(G33)</f>
        <v>28</v>
      </c>
      <c r="R33" s="1" t="n">
        <f aca="false">M33*(N33+C33)*(P33-Q33)/3600</f>
        <v>-0</v>
      </c>
    </row>
    <row r="34" customFormat="false" ht="12" hidden="false" customHeight="false" outlineLevel="0" collapsed="false">
      <c r="M34" s="1" t="n">
        <v>0</v>
      </c>
      <c r="P34" s="2" t="n">
        <f aca="false">MINUTE(O34)*60+SECOND(O34)</f>
        <v>0</v>
      </c>
      <c r="Q34" s="2" t="n">
        <f aca="false">MINUTE(G34)*60+SECOND(G34)</f>
        <v>0</v>
      </c>
      <c r="R34" s="1" t="n">
        <f aca="false">M34*(N34+C34)*(P34-Q34)/3600</f>
        <v>0</v>
      </c>
    </row>
    <row r="35" customFormat="false" ht="12" hidden="false" customHeight="false" outlineLevel="0" collapsed="false">
      <c r="M35" s="1" t="n">
        <v>0</v>
      </c>
      <c r="P35" s="2" t="n">
        <f aca="false">MINUTE(O35)*60+SECOND(O35)</f>
        <v>0</v>
      </c>
      <c r="Q35" s="2" t="n">
        <f aca="false">MINUTE(G35)*60+SECOND(G35)</f>
        <v>0</v>
      </c>
      <c r="R35" s="1" t="n">
        <f aca="false">M35*(N35+C35)*(P35-Q35)/3600</f>
        <v>0</v>
      </c>
    </row>
    <row r="36" customFormat="false" ht="12" hidden="false" customHeight="false" outlineLevel="0" collapsed="false">
      <c r="A36" s="1" t="s">
        <v>69</v>
      </c>
      <c r="B36" s="1" t="s">
        <v>8</v>
      </c>
      <c r="C36" s="1" t="n">
        <v>1019</v>
      </c>
      <c r="D36" s="1" t="n">
        <v>54.9</v>
      </c>
      <c r="E36" s="1" t="n">
        <v>24.6</v>
      </c>
      <c r="F36" s="1" t="n">
        <v>8.2</v>
      </c>
      <c r="G36" s="4" t="n">
        <v>0.000150462962962963</v>
      </c>
      <c r="H36" s="4" t="n">
        <v>0.000127314814814815</v>
      </c>
      <c r="I36" s="4" t="n">
        <v>0.000115740740740741</v>
      </c>
      <c r="J36" s="1" t="n">
        <v>1.4</v>
      </c>
      <c r="K36" s="1" t="s">
        <v>80</v>
      </c>
      <c r="L36" s="1" t="n">
        <v>62.2</v>
      </c>
      <c r="M36" s="1" t="n">
        <v>1</v>
      </c>
      <c r="N36" s="1" t="n">
        <v>2178</v>
      </c>
      <c r="O36" s="4" t="n">
        <v>0.000173611111111111</v>
      </c>
      <c r="P36" s="2" t="n">
        <f aca="false">MINUTE(O36)*60+SECOND(O36)</f>
        <v>15</v>
      </c>
      <c r="Q36" s="2" t="n">
        <f aca="false">MINUTE(G36)*60+SECOND(G36)</f>
        <v>13</v>
      </c>
      <c r="R36" s="1" t="n">
        <f aca="false">M36*(N36+C36)*(P36-Q36)/3600</f>
        <v>1.77611111111111</v>
      </c>
    </row>
    <row r="37" customFormat="false" ht="12" hidden="false" customHeight="false" outlineLevel="0" collapsed="false">
      <c r="A37" s="1" t="s">
        <v>71</v>
      </c>
      <c r="B37" s="1" t="s">
        <v>81</v>
      </c>
      <c r="C37" s="1" t="n">
        <v>1019</v>
      </c>
      <c r="E37" s="1" t="n">
        <v>24.6</v>
      </c>
      <c r="F37" s="1" t="n">
        <v>8.2</v>
      </c>
      <c r="G37" s="4" t="n">
        <v>0.000150462962962963</v>
      </c>
      <c r="H37" s="4" t="n">
        <v>0.000127314814814815</v>
      </c>
      <c r="I37" s="4" t="n">
        <v>0.000115740740740741</v>
      </c>
      <c r="J37" s="1" t="n">
        <v>1.4</v>
      </c>
      <c r="K37" s="1" t="s">
        <v>80</v>
      </c>
      <c r="L37" s="1" t="n">
        <v>62.2</v>
      </c>
      <c r="M37" s="1" t="n">
        <v>0</v>
      </c>
      <c r="N37" s="1" t="n">
        <v>2178</v>
      </c>
      <c r="O37" s="4" t="n">
        <v>0.000173611111111111</v>
      </c>
      <c r="P37" s="2" t="n">
        <f aca="false">MINUTE(O37)*60+SECOND(O37)</f>
        <v>15</v>
      </c>
      <c r="Q37" s="2" t="n">
        <f aca="false">MINUTE(G37)*60+SECOND(G37)</f>
        <v>13</v>
      </c>
      <c r="R37" s="1" t="n">
        <f aca="false">M37*(N37+C37)*(P37-Q37)/3600</f>
        <v>0</v>
      </c>
    </row>
    <row r="38" customFormat="false" ht="12" hidden="false" customHeight="false" outlineLevel="0" collapsed="false">
      <c r="M38" s="1" t="n">
        <v>0</v>
      </c>
      <c r="P38" s="2" t="n">
        <f aca="false">MINUTE(O38)*60+SECOND(O38)</f>
        <v>0</v>
      </c>
      <c r="Q38" s="2" t="n">
        <f aca="false">MINUTE(G38)*60+SECOND(G38)</f>
        <v>0</v>
      </c>
      <c r="R38" s="1" t="n">
        <f aca="false">M38*(N38+C38)*(P38-Q38)/3600</f>
        <v>0</v>
      </c>
    </row>
    <row r="39" customFormat="false" ht="12" hidden="false" customHeight="false" outlineLevel="0" collapsed="false">
      <c r="M39" s="1" t="n">
        <v>0</v>
      </c>
      <c r="P39" s="2" t="n">
        <f aca="false">MINUTE(O39)*60+SECOND(O39)</f>
        <v>0</v>
      </c>
      <c r="Q39" s="2" t="n">
        <f aca="false">MINUTE(G39)*60+SECOND(G39)</f>
        <v>0</v>
      </c>
      <c r="R39" s="1" t="n">
        <f aca="false">M39*(N39+C39)*(P39-Q39)/3600</f>
        <v>0</v>
      </c>
    </row>
    <row r="40" customFormat="false" ht="12" hidden="false" customHeight="false" outlineLevel="0" collapsed="false">
      <c r="A40" s="1" t="s">
        <v>69</v>
      </c>
      <c r="B40" s="1" t="s">
        <v>9</v>
      </c>
      <c r="C40" s="1" t="n">
        <v>1504</v>
      </c>
      <c r="D40" s="1" t="n">
        <v>177.2</v>
      </c>
      <c r="E40" s="1" t="n">
        <v>3.9</v>
      </c>
      <c r="F40" s="1" t="n">
        <v>3.8</v>
      </c>
      <c r="G40" s="4" t="n">
        <v>0.000300925925925926</v>
      </c>
      <c r="H40" s="4" t="n">
        <v>0.000277777777777778</v>
      </c>
      <c r="I40" s="4" t="n">
        <v>0.000289351851851852</v>
      </c>
      <c r="J40" s="1" t="n">
        <v>2.7</v>
      </c>
      <c r="K40" s="1" t="s">
        <v>82</v>
      </c>
      <c r="L40" s="1" t="n">
        <v>83.7</v>
      </c>
      <c r="M40" s="1" t="n">
        <v>1</v>
      </c>
      <c r="N40" s="1" t="n">
        <v>2268</v>
      </c>
      <c r="O40" s="4" t="n">
        <v>0.000138888888888889</v>
      </c>
      <c r="P40" s="2" t="n">
        <f aca="false">MINUTE(O40)*60+SECOND(O40)</f>
        <v>12</v>
      </c>
      <c r="Q40" s="2" t="n">
        <f aca="false">MINUTE(G40)*60+SECOND(G40)</f>
        <v>26</v>
      </c>
      <c r="R40" s="1" t="n">
        <f aca="false">M40*(N40+C40)*(P40-Q40)/3600</f>
        <v>-14.6688888888889</v>
      </c>
    </row>
    <row r="41" customFormat="false" ht="12" hidden="false" customHeight="false" outlineLevel="0" collapsed="false">
      <c r="A41" s="1" t="s">
        <v>71</v>
      </c>
      <c r="B41" s="1" t="s">
        <v>83</v>
      </c>
      <c r="C41" s="1" t="n">
        <v>1504</v>
      </c>
      <c r="E41" s="1" t="n">
        <v>3.9</v>
      </c>
      <c r="F41" s="1" t="n">
        <v>3.8</v>
      </c>
      <c r="G41" s="4" t="n">
        <v>0.000300925925925926</v>
      </c>
      <c r="H41" s="4" t="n">
        <v>0.000277777777777778</v>
      </c>
      <c r="I41" s="4" t="n">
        <v>0.000289351851851852</v>
      </c>
      <c r="J41" s="1" t="n">
        <v>2.7</v>
      </c>
      <c r="K41" s="1" t="s">
        <v>82</v>
      </c>
      <c r="L41" s="1" t="n">
        <v>83.7</v>
      </c>
      <c r="M41" s="1" t="n">
        <v>0</v>
      </c>
      <c r="N41" s="1" t="n">
        <v>2268</v>
      </c>
      <c r="O41" s="4" t="n">
        <v>0.000138888888888889</v>
      </c>
      <c r="P41" s="2" t="n">
        <f aca="false">MINUTE(O41)*60+SECOND(O41)</f>
        <v>12</v>
      </c>
      <c r="Q41" s="2" t="n">
        <f aca="false">MINUTE(G41)*60+SECOND(G41)</f>
        <v>26</v>
      </c>
      <c r="R41" s="1" t="n">
        <f aca="false">M41*(N41+C41)*(P41-Q41)/3600</f>
        <v>-0</v>
      </c>
    </row>
    <row r="42" customFormat="false" ht="12" hidden="false" customHeight="false" outlineLevel="0" collapsed="false">
      <c r="M42" s="1" t="n">
        <v>0</v>
      </c>
      <c r="P42" s="2" t="n">
        <f aca="false">MINUTE(O42)*60+SECOND(O42)</f>
        <v>0</v>
      </c>
      <c r="Q42" s="2" t="n">
        <f aca="false">MINUTE(G42)*60+SECOND(G42)</f>
        <v>0</v>
      </c>
      <c r="R42" s="1" t="n">
        <f aca="false">M42*(N42+C42)*(P42-Q42)/3600</f>
        <v>0</v>
      </c>
    </row>
    <row r="43" customFormat="false" ht="12" hidden="false" customHeight="false" outlineLevel="0" collapsed="false">
      <c r="M43" s="1" t="n">
        <v>0</v>
      </c>
      <c r="P43" s="2" t="n">
        <f aca="false">MINUTE(O43)*60+SECOND(O43)</f>
        <v>0</v>
      </c>
      <c r="Q43" s="2" t="n">
        <f aca="false">MINUTE(G43)*60+SECOND(G43)</f>
        <v>0</v>
      </c>
      <c r="R43" s="1" t="n">
        <f aca="false">M43*(N43+C43)*(P43-Q43)/3600</f>
        <v>0</v>
      </c>
    </row>
    <row r="44" customFormat="false" ht="12" hidden="false" customHeight="false" outlineLevel="0" collapsed="false">
      <c r="A44" s="1" t="s">
        <v>69</v>
      </c>
      <c r="B44" s="1" t="s">
        <v>10</v>
      </c>
      <c r="C44" s="1" t="n">
        <v>1024</v>
      </c>
      <c r="D44" s="1" t="n">
        <v>59.2</v>
      </c>
      <c r="E44" s="1" t="n">
        <v>25.4</v>
      </c>
      <c r="F44" s="1" t="n">
        <v>7.7</v>
      </c>
      <c r="G44" s="4" t="n">
        <v>0.000150462962962963</v>
      </c>
      <c r="H44" s="4" t="n">
        <v>0.000127314814814815</v>
      </c>
      <c r="I44" s="4" t="n">
        <v>0.000127314814814815</v>
      </c>
      <c r="J44" s="1" t="n">
        <v>1.5</v>
      </c>
      <c r="K44" s="1" t="s">
        <v>84</v>
      </c>
      <c r="L44" s="1" t="n">
        <v>59.7</v>
      </c>
      <c r="M44" s="1" t="n">
        <v>1</v>
      </c>
      <c r="N44" s="1" t="n">
        <v>2176</v>
      </c>
      <c r="O44" s="4" t="n">
        <v>0.000196759259259259</v>
      </c>
      <c r="P44" s="2" t="n">
        <f aca="false">MINUTE(O44)*60+SECOND(O44)</f>
        <v>17</v>
      </c>
      <c r="Q44" s="2" t="n">
        <f aca="false">MINUTE(G44)*60+SECOND(G44)</f>
        <v>13</v>
      </c>
      <c r="R44" s="1" t="n">
        <f aca="false">M44*(N44+C44)*(P44-Q44)/3600</f>
        <v>3.55555555555556</v>
      </c>
    </row>
    <row r="45" customFormat="false" ht="12" hidden="false" customHeight="false" outlineLevel="0" collapsed="false">
      <c r="A45" s="1" t="s">
        <v>71</v>
      </c>
      <c r="B45" s="1" t="s">
        <v>85</v>
      </c>
      <c r="C45" s="1" t="n">
        <v>1024</v>
      </c>
      <c r="E45" s="1" t="n">
        <v>25.4</v>
      </c>
      <c r="F45" s="1" t="n">
        <v>7.7</v>
      </c>
      <c r="G45" s="4" t="n">
        <v>0.000150462962962963</v>
      </c>
      <c r="H45" s="4" t="n">
        <v>0.000127314814814815</v>
      </c>
      <c r="I45" s="4" t="n">
        <v>0.000127314814814815</v>
      </c>
      <c r="J45" s="1" t="n">
        <v>1.5</v>
      </c>
      <c r="K45" s="1" t="s">
        <v>84</v>
      </c>
      <c r="L45" s="1" t="n">
        <v>59.7</v>
      </c>
      <c r="M45" s="1" t="n">
        <v>0</v>
      </c>
      <c r="N45" s="1" t="n">
        <v>2176</v>
      </c>
      <c r="O45" s="4" t="n">
        <v>0.000196759259259259</v>
      </c>
      <c r="P45" s="2" t="n">
        <f aca="false">MINUTE(O45)*60+SECOND(O45)</f>
        <v>17</v>
      </c>
      <c r="Q45" s="2" t="n">
        <f aca="false">MINUTE(G45)*60+SECOND(G45)</f>
        <v>13</v>
      </c>
      <c r="R45" s="1" t="n">
        <f aca="false">M45*(N45+C45)*(P45-Q45)/3600</f>
        <v>0</v>
      </c>
    </row>
    <row r="46" customFormat="false" ht="12" hidden="false" customHeight="false" outlineLevel="0" collapsed="false">
      <c r="M46" s="1" t="n">
        <v>0</v>
      </c>
      <c r="P46" s="2" t="n">
        <f aca="false">MINUTE(O46)*60+SECOND(O46)</f>
        <v>0</v>
      </c>
      <c r="Q46" s="2" t="n">
        <f aca="false">MINUTE(G46)*60+SECOND(G46)</f>
        <v>0</v>
      </c>
      <c r="R46" s="1" t="n">
        <f aca="false">M46*(N46+C46)*(P46-Q46)/3600</f>
        <v>0</v>
      </c>
    </row>
    <row r="47" customFormat="false" ht="12" hidden="false" customHeight="false" outlineLevel="0" collapsed="false">
      <c r="M47" s="1" t="n">
        <v>0</v>
      </c>
      <c r="P47" s="2" t="n">
        <f aca="false">MINUTE(O47)*60+SECOND(O47)</f>
        <v>0</v>
      </c>
      <c r="Q47" s="2" t="n">
        <f aca="false">MINUTE(G47)*60+SECOND(G47)</f>
        <v>0</v>
      </c>
      <c r="R47" s="1" t="n">
        <f aca="false">M47*(N47+C47)*(P47-Q47)/3600</f>
        <v>0</v>
      </c>
    </row>
    <row r="48" customFormat="false" ht="12" hidden="false" customHeight="false" outlineLevel="0" collapsed="false">
      <c r="A48" s="1" t="s">
        <v>69</v>
      </c>
      <c r="B48" s="1" t="s">
        <v>11</v>
      </c>
      <c r="C48" s="1" t="n">
        <v>1504</v>
      </c>
      <c r="D48" s="1" t="n">
        <v>177.4</v>
      </c>
      <c r="E48" s="1" t="n">
        <v>3.9</v>
      </c>
      <c r="F48" s="1" t="n">
        <v>3.8</v>
      </c>
      <c r="G48" s="4" t="n">
        <v>0.000335648148148148</v>
      </c>
      <c r="H48" s="4" t="n">
        <v>0.0003125</v>
      </c>
      <c r="I48" s="4" t="n">
        <v>0.000324074074074074</v>
      </c>
      <c r="J48" s="1" t="n">
        <v>2.7</v>
      </c>
      <c r="K48" s="1" t="s">
        <v>86</v>
      </c>
      <c r="L48" s="1" t="n">
        <v>93.4</v>
      </c>
      <c r="M48" s="1" t="n">
        <v>1</v>
      </c>
      <c r="N48" s="1" t="n">
        <v>2275</v>
      </c>
      <c r="O48" s="4" t="n">
        <v>0.000162037037037037</v>
      </c>
      <c r="P48" s="2" t="n">
        <f aca="false">MINUTE(O48)*60+SECOND(O48)</f>
        <v>14</v>
      </c>
      <c r="Q48" s="2" t="n">
        <f aca="false">MINUTE(G48)*60+SECOND(G48)</f>
        <v>29</v>
      </c>
      <c r="R48" s="1" t="n">
        <f aca="false">M48*(N48+C48)*(P48-Q48)/3600</f>
        <v>-15.7458333333333</v>
      </c>
    </row>
    <row r="49" customFormat="false" ht="12" hidden="false" customHeight="false" outlineLevel="0" collapsed="false">
      <c r="A49" s="1" t="s">
        <v>71</v>
      </c>
      <c r="B49" s="1" t="s">
        <v>87</v>
      </c>
      <c r="C49" s="1" t="n">
        <v>1504</v>
      </c>
      <c r="E49" s="1" t="n">
        <v>3.9</v>
      </c>
      <c r="F49" s="1" t="n">
        <v>3.8</v>
      </c>
      <c r="G49" s="4" t="n">
        <v>0.000335648148148148</v>
      </c>
      <c r="H49" s="4" t="n">
        <v>0.0003125</v>
      </c>
      <c r="I49" s="4" t="n">
        <v>0.000324074074074074</v>
      </c>
      <c r="J49" s="1" t="n">
        <v>2.7</v>
      </c>
      <c r="K49" s="1" t="s">
        <v>86</v>
      </c>
      <c r="L49" s="1" t="n">
        <v>93.4</v>
      </c>
      <c r="M49" s="1" t="n">
        <v>0</v>
      </c>
      <c r="N49" s="1" t="n">
        <v>2275</v>
      </c>
      <c r="O49" s="4" t="n">
        <v>0.000162037037037037</v>
      </c>
      <c r="P49" s="2" t="n">
        <f aca="false">MINUTE(O49)*60+SECOND(O49)</f>
        <v>14</v>
      </c>
      <c r="Q49" s="2" t="n">
        <f aca="false">MINUTE(G49)*60+SECOND(G49)</f>
        <v>29</v>
      </c>
      <c r="R49" s="1" t="n">
        <f aca="false">M49*(N49+C49)*(P49-Q49)/3600</f>
        <v>-0</v>
      </c>
    </row>
    <row r="50" customFormat="false" ht="12" hidden="false" customHeight="false" outlineLevel="0" collapsed="false">
      <c r="M50" s="1" t="n">
        <v>0</v>
      </c>
      <c r="P50" s="2" t="n">
        <f aca="false">MINUTE(O50)*60+SECOND(O50)</f>
        <v>0</v>
      </c>
      <c r="Q50" s="2" t="n">
        <f aca="false">MINUTE(G50)*60+SECOND(G50)</f>
        <v>0</v>
      </c>
      <c r="R50" s="1" t="n">
        <f aca="false">M50*(N50+C50)*(P50-Q50)/3600</f>
        <v>0</v>
      </c>
    </row>
    <row r="51" customFormat="false" ht="12" hidden="false" customHeight="false" outlineLevel="0" collapsed="false">
      <c r="M51" s="1" t="n">
        <v>0</v>
      </c>
      <c r="P51" s="2" t="n">
        <f aca="false">MINUTE(O51)*60+SECOND(O51)</f>
        <v>0</v>
      </c>
      <c r="Q51" s="2" t="n">
        <f aca="false">MINUTE(G51)*60+SECOND(G51)</f>
        <v>0</v>
      </c>
      <c r="R51" s="1" t="n">
        <f aca="false">M51*(N51+C51)*(P51-Q51)/3600</f>
        <v>0</v>
      </c>
    </row>
    <row r="52" customFormat="false" ht="12" hidden="false" customHeight="false" outlineLevel="0" collapsed="false">
      <c r="A52" s="1" t="s">
        <v>69</v>
      </c>
      <c r="B52" s="1" t="s">
        <v>12</v>
      </c>
      <c r="C52" s="1" t="n">
        <v>1029</v>
      </c>
      <c r="D52" s="1" t="n">
        <v>59.4</v>
      </c>
      <c r="E52" s="1" t="n">
        <v>25.5</v>
      </c>
      <c r="F52" s="1" t="n">
        <v>7.7</v>
      </c>
      <c r="G52" s="4" t="n">
        <v>0.000162037037037037</v>
      </c>
      <c r="H52" s="4" t="n">
        <v>0.000138888888888889</v>
      </c>
      <c r="I52" s="4" t="n">
        <v>0.000138888888888889</v>
      </c>
      <c r="J52" s="1" t="n">
        <v>1.5</v>
      </c>
      <c r="K52" s="1" t="s">
        <v>88</v>
      </c>
      <c r="L52" s="1" t="n">
        <v>64.1</v>
      </c>
      <c r="M52" s="1" t="n">
        <v>1</v>
      </c>
      <c r="N52" s="1" t="n">
        <v>2174</v>
      </c>
      <c r="O52" s="4" t="n">
        <v>0.000219907407407407</v>
      </c>
      <c r="P52" s="2" t="n">
        <f aca="false">MINUTE(O52)*60+SECOND(O52)</f>
        <v>19</v>
      </c>
      <c r="Q52" s="2" t="n">
        <f aca="false">MINUTE(G52)*60+SECOND(G52)</f>
        <v>14</v>
      </c>
      <c r="R52" s="1" t="n">
        <f aca="false">M52*(N52+C52)*(P52-Q52)/3600</f>
        <v>4.44861111111111</v>
      </c>
    </row>
    <row r="53" customFormat="false" ht="12" hidden="false" customHeight="false" outlineLevel="0" collapsed="false">
      <c r="A53" s="1" t="s">
        <v>71</v>
      </c>
      <c r="B53" s="1" t="s">
        <v>89</v>
      </c>
      <c r="C53" s="1" t="n">
        <v>1029</v>
      </c>
      <c r="E53" s="1" t="n">
        <v>25.5</v>
      </c>
      <c r="F53" s="1" t="n">
        <v>7.7</v>
      </c>
      <c r="G53" s="4" t="n">
        <v>0.000162037037037037</v>
      </c>
      <c r="H53" s="4" t="n">
        <v>0.000138888888888889</v>
      </c>
      <c r="I53" s="4" t="n">
        <v>0.000138888888888889</v>
      </c>
      <c r="J53" s="1" t="n">
        <v>1.5</v>
      </c>
      <c r="K53" s="1" t="s">
        <v>88</v>
      </c>
      <c r="L53" s="1" t="n">
        <v>64.1</v>
      </c>
      <c r="M53" s="1" t="n">
        <v>0</v>
      </c>
      <c r="N53" s="1" t="n">
        <v>2174</v>
      </c>
      <c r="O53" s="4" t="n">
        <v>0.000219907407407407</v>
      </c>
      <c r="P53" s="2" t="n">
        <f aca="false">MINUTE(O53)*60+SECOND(O53)</f>
        <v>19</v>
      </c>
      <c r="Q53" s="2" t="n">
        <f aca="false">MINUTE(G53)*60+SECOND(G53)</f>
        <v>14</v>
      </c>
      <c r="R53" s="1" t="n">
        <f aca="false">M53*(N53+C53)*(P53-Q53)/3600</f>
        <v>0</v>
      </c>
    </row>
    <row r="54" customFormat="false" ht="12" hidden="false" customHeight="false" outlineLevel="0" collapsed="false">
      <c r="M54" s="1" t="n">
        <v>0</v>
      </c>
      <c r="P54" s="2" t="n">
        <f aca="false">MINUTE(O54)*60+SECOND(O54)</f>
        <v>0</v>
      </c>
      <c r="Q54" s="2" t="n">
        <f aca="false">MINUTE(G54)*60+SECOND(G54)</f>
        <v>0</v>
      </c>
      <c r="R54" s="1" t="n">
        <f aca="false">M54*(N54+C54)*(P54-Q54)/3600</f>
        <v>0</v>
      </c>
    </row>
    <row r="55" customFormat="false" ht="12" hidden="false" customHeight="false" outlineLevel="0" collapsed="false">
      <c r="M55" s="1" t="n">
        <v>0</v>
      </c>
      <c r="P55" s="2" t="n">
        <f aca="false">MINUTE(O55)*60+SECOND(O55)</f>
        <v>0</v>
      </c>
      <c r="Q55" s="2" t="n">
        <f aca="false">MINUTE(G55)*60+SECOND(G55)</f>
        <v>0</v>
      </c>
      <c r="R55" s="1" t="n">
        <f aca="false">M55*(N55+C55)*(P55-Q55)/3600</f>
        <v>0</v>
      </c>
    </row>
    <row r="56" customFormat="false" ht="12" hidden="false" customHeight="false" outlineLevel="0" collapsed="false">
      <c r="A56" s="1" t="s">
        <v>69</v>
      </c>
      <c r="B56" s="1" t="s">
        <v>13</v>
      </c>
      <c r="C56" s="1" t="n">
        <v>564</v>
      </c>
      <c r="D56" s="1" t="n">
        <v>61.5</v>
      </c>
      <c r="E56" s="1" t="n">
        <v>9.8</v>
      </c>
      <c r="F56" s="1" t="n">
        <v>8.4</v>
      </c>
      <c r="G56" s="4" t="n">
        <v>0.00480324074074074</v>
      </c>
      <c r="H56" s="4" t="n">
        <v>0.00372685185185185</v>
      </c>
      <c r="I56" s="4" t="n">
        <v>0.00391203703703704</v>
      </c>
      <c r="J56" s="1" t="n">
        <v>1.2</v>
      </c>
      <c r="K56" s="1" t="s">
        <v>90</v>
      </c>
      <c r="L56" s="1" t="n">
        <v>1090.5</v>
      </c>
      <c r="M56" s="1" t="n">
        <v>1</v>
      </c>
      <c r="N56" s="1" t="n">
        <v>589</v>
      </c>
      <c r="O56" s="4" t="n">
        <v>0.00118055555555556</v>
      </c>
      <c r="P56" s="2" t="n">
        <f aca="false">MINUTE(O56)*60+SECOND(O56)</f>
        <v>102</v>
      </c>
      <c r="Q56" s="2" t="n">
        <f aca="false">MINUTE(G56)*60+SECOND(G56)</f>
        <v>415</v>
      </c>
      <c r="R56" s="1" t="n">
        <f aca="false">M56*(N56+C56)*(P56-Q56)/3600</f>
        <v>-100.246944444444</v>
      </c>
    </row>
    <row r="57" customFormat="false" ht="12" hidden="false" customHeight="false" outlineLevel="0" collapsed="false">
      <c r="A57" s="1" t="s">
        <v>71</v>
      </c>
      <c r="B57" s="1" t="s">
        <v>89</v>
      </c>
      <c r="C57" s="1" t="n">
        <v>564</v>
      </c>
      <c r="E57" s="1" t="n">
        <v>9.8</v>
      </c>
      <c r="F57" s="1" t="n">
        <v>8.4</v>
      </c>
      <c r="G57" s="4" t="n">
        <v>0.00480324074074074</v>
      </c>
      <c r="H57" s="4" t="n">
        <v>0.00372685185185185</v>
      </c>
      <c r="I57" s="4" t="n">
        <v>0.00391203703703704</v>
      </c>
      <c r="J57" s="1" t="n">
        <v>1.2</v>
      </c>
      <c r="K57" s="1" t="s">
        <v>90</v>
      </c>
      <c r="L57" s="1" t="n">
        <v>1090.5</v>
      </c>
      <c r="M57" s="1" t="n">
        <v>0</v>
      </c>
      <c r="N57" s="1" t="n">
        <v>589</v>
      </c>
      <c r="O57" s="4" t="n">
        <v>0.00118055555555556</v>
      </c>
      <c r="P57" s="2" t="n">
        <f aca="false">MINUTE(O57)*60+SECOND(O57)</f>
        <v>102</v>
      </c>
      <c r="Q57" s="2" t="n">
        <f aca="false">MINUTE(G57)*60+SECOND(G57)</f>
        <v>415</v>
      </c>
      <c r="R57" s="1" t="n">
        <f aca="false">M57*(N57+C57)*(P57-Q57)/3600</f>
        <v>-0</v>
      </c>
    </row>
    <row r="58" customFormat="false" ht="12" hidden="false" customHeight="false" outlineLevel="0" collapsed="false">
      <c r="M58" s="1" t="n">
        <v>0</v>
      </c>
      <c r="P58" s="2" t="n">
        <f aca="false">MINUTE(O58)*60+SECOND(O58)</f>
        <v>0</v>
      </c>
      <c r="Q58" s="2" t="n">
        <f aca="false">MINUTE(G58)*60+SECOND(G58)</f>
        <v>0</v>
      </c>
      <c r="R58" s="1" t="n">
        <f aca="false">M58*(N58+C58)*(P58-Q58)/3600</f>
        <v>0</v>
      </c>
    </row>
    <row r="59" customFormat="false" ht="12" hidden="false" customHeight="false" outlineLevel="0" collapsed="false">
      <c r="M59" s="1" t="n">
        <v>0</v>
      </c>
      <c r="P59" s="2" t="n">
        <f aca="false">MINUTE(O59)*60+SECOND(O59)</f>
        <v>0</v>
      </c>
      <c r="Q59" s="2" t="n">
        <f aca="false">MINUTE(G59)*60+SECOND(G59)</f>
        <v>0</v>
      </c>
      <c r="R59" s="1" t="n">
        <f aca="false">M59*(N59+C59)*(P59-Q59)/3600</f>
        <v>0</v>
      </c>
    </row>
    <row r="60" customFormat="false" ht="12" hidden="false" customHeight="false" outlineLevel="0" collapsed="false">
      <c r="A60" s="1" t="s">
        <v>69</v>
      </c>
      <c r="B60" s="1" t="s">
        <v>14</v>
      </c>
      <c r="C60" s="1" t="n">
        <v>1624</v>
      </c>
      <c r="D60" s="1" t="n">
        <v>57.5</v>
      </c>
      <c r="E60" s="1" t="n">
        <v>27.3</v>
      </c>
      <c r="F60" s="1" t="n">
        <v>10.7</v>
      </c>
      <c r="G60" s="4" t="n">
        <v>0.000775462962962963</v>
      </c>
      <c r="H60" s="4" t="n">
        <v>0.000601851851851852</v>
      </c>
      <c r="I60" s="4" t="n">
        <v>0.000439814814814815</v>
      </c>
      <c r="J60" s="1" t="n">
        <v>5</v>
      </c>
      <c r="K60" s="1" t="s">
        <v>91</v>
      </c>
      <c r="L60" s="1" t="n">
        <v>649.9</v>
      </c>
      <c r="M60" s="1" t="n">
        <v>1</v>
      </c>
      <c r="N60" s="1" t="n">
        <v>2764</v>
      </c>
      <c r="O60" s="4" t="n">
        <v>0.00114583333333333</v>
      </c>
      <c r="P60" s="2" t="n">
        <f aca="false">MINUTE(O60)*60+SECOND(O60)</f>
        <v>99</v>
      </c>
      <c r="Q60" s="2" t="n">
        <f aca="false">MINUTE(G60)*60+SECOND(G60)</f>
        <v>67</v>
      </c>
      <c r="R60" s="1" t="n">
        <f aca="false">M60*(N60+C60)*(P60-Q60)/3600</f>
        <v>39.0044444444444</v>
      </c>
    </row>
    <row r="61" customFormat="false" ht="12" hidden="false" customHeight="false" outlineLevel="0" collapsed="false">
      <c r="A61" s="1" t="s">
        <v>71</v>
      </c>
      <c r="B61" s="1" t="s">
        <v>92</v>
      </c>
      <c r="C61" s="1" t="n">
        <v>1624</v>
      </c>
      <c r="E61" s="1" t="n">
        <v>27.3</v>
      </c>
      <c r="F61" s="1" t="n">
        <v>10.7</v>
      </c>
      <c r="G61" s="4" t="n">
        <v>0.000775462962962963</v>
      </c>
      <c r="H61" s="4" t="n">
        <v>0.000601851851851852</v>
      </c>
      <c r="I61" s="4" t="n">
        <v>0.000439814814814815</v>
      </c>
      <c r="J61" s="1" t="n">
        <v>5</v>
      </c>
      <c r="K61" s="1" t="s">
        <v>93</v>
      </c>
      <c r="L61" s="1" t="n">
        <v>649.9</v>
      </c>
      <c r="M61" s="1" t="n">
        <v>0</v>
      </c>
      <c r="N61" s="1" t="n">
        <v>2764</v>
      </c>
      <c r="O61" s="4" t="n">
        <v>0.00114583333333333</v>
      </c>
      <c r="P61" s="2" t="n">
        <f aca="false">MINUTE(O61)*60+SECOND(O61)</f>
        <v>99</v>
      </c>
      <c r="Q61" s="2" t="n">
        <f aca="false">MINUTE(G61)*60+SECOND(G61)</f>
        <v>67</v>
      </c>
      <c r="R61" s="1" t="n">
        <f aca="false">M61*(N61+C61)*(P61-Q61)/3600</f>
        <v>0</v>
      </c>
    </row>
    <row r="62" customFormat="false" ht="12" hidden="false" customHeight="false" outlineLevel="0" collapsed="false">
      <c r="M62" s="1" t="n">
        <v>0</v>
      </c>
      <c r="P62" s="2" t="n">
        <f aca="false">MINUTE(O62)*60+SECOND(O62)</f>
        <v>0</v>
      </c>
      <c r="Q62" s="2" t="n">
        <f aca="false">MINUTE(G62)*60+SECOND(G62)</f>
        <v>0</v>
      </c>
      <c r="R62" s="1" t="n">
        <f aca="false">M62*(N62+C62)*(P62-Q62)/3600</f>
        <v>0</v>
      </c>
    </row>
    <row r="63" customFormat="false" ht="12" hidden="false" customHeight="false" outlineLevel="0" collapsed="false">
      <c r="M63" s="1" t="n">
        <v>0</v>
      </c>
      <c r="P63" s="2" t="n">
        <f aca="false">MINUTE(O63)*60+SECOND(O63)</f>
        <v>0</v>
      </c>
      <c r="Q63" s="2" t="n">
        <f aca="false">MINUTE(G63)*60+SECOND(G63)</f>
        <v>0</v>
      </c>
      <c r="R63" s="1" t="n">
        <f aca="false">M63*(N63+C63)*(P63-Q63)/3600</f>
        <v>0</v>
      </c>
    </row>
    <row r="64" customFormat="false" ht="12" hidden="false" customHeight="false" outlineLevel="0" collapsed="false">
      <c r="A64" s="1" t="s">
        <v>69</v>
      </c>
      <c r="B64" s="1" t="s">
        <v>15</v>
      </c>
      <c r="C64" s="1" t="n">
        <v>253</v>
      </c>
      <c r="D64" s="1" t="n">
        <v>168.8</v>
      </c>
      <c r="E64" s="1" t="n">
        <v>22.5</v>
      </c>
      <c r="F64" s="1" t="n">
        <v>3.9</v>
      </c>
      <c r="G64" s="4" t="n">
        <v>0.0103356481481481</v>
      </c>
      <c r="H64" s="4" t="n">
        <v>0.00927083333333333</v>
      </c>
      <c r="I64" s="4" t="n">
        <v>0.00934027777777778</v>
      </c>
      <c r="J64" s="1" t="n">
        <v>1.1</v>
      </c>
      <c r="K64" s="1" t="s">
        <v>94</v>
      </c>
      <c r="L64" s="1" t="n">
        <v>488</v>
      </c>
      <c r="M64" s="1" t="n">
        <v>1</v>
      </c>
      <c r="N64" s="1" t="n">
        <v>601</v>
      </c>
      <c r="O64" s="4" t="n">
        <v>0.00136574074074074</v>
      </c>
      <c r="P64" s="2" t="n">
        <f aca="false">MINUTE(O64)*60+SECOND(O64)</f>
        <v>118</v>
      </c>
      <c r="Q64" s="2" t="n">
        <f aca="false">MINUTE(G64)*60+SECOND(G64)</f>
        <v>893</v>
      </c>
      <c r="R64" s="1" t="n">
        <f aca="false">M64*(N64+C64)*(P64-Q64)/3600</f>
        <v>-183.847222222222</v>
      </c>
    </row>
    <row r="65" customFormat="false" ht="12" hidden="false" customHeight="false" outlineLevel="0" collapsed="false">
      <c r="A65" s="1" t="s">
        <v>71</v>
      </c>
      <c r="B65" s="1" t="s">
        <v>87</v>
      </c>
      <c r="C65" s="1" t="n">
        <v>253</v>
      </c>
      <c r="E65" s="1" t="n">
        <v>22.5</v>
      </c>
      <c r="F65" s="1" t="n">
        <v>3.9</v>
      </c>
      <c r="G65" s="4" t="n">
        <v>0.0103356481481481</v>
      </c>
      <c r="H65" s="4" t="n">
        <v>0.00927083333333333</v>
      </c>
      <c r="I65" s="4" t="n">
        <v>0.00934027777777778</v>
      </c>
      <c r="J65" s="1" t="n">
        <v>1.1</v>
      </c>
      <c r="K65" s="1" t="s">
        <v>94</v>
      </c>
      <c r="L65" s="1" t="n">
        <v>488</v>
      </c>
      <c r="M65" s="1" t="n">
        <v>0</v>
      </c>
      <c r="N65" s="1" t="n">
        <v>601</v>
      </c>
      <c r="O65" s="4" t="n">
        <v>0.00136574074074074</v>
      </c>
      <c r="P65" s="2" t="n">
        <f aca="false">MINUTE(O65)*60+SECOND(O65)</f>
        <v>118</v>
      </c>
      <c r="Q65" s="2" t="n">
        <f aca="false">MINUTE(G65)*60+SECOND(G65)</f>
        <v>893</v>
      </c>
      <c r="R65" s="1" t="n">
        <f aca="false">M65*(N65+C65)*(P65-Q65)/3600</f>
        <v>-0</v>
      </c>
    </row>
    <row r="66" customFormat="false" ht="12" hidden="false" customHeight="false" outlineLevel="0" collapsed="false">
      <c r="M66" s="1" t="n">
        <v>0</v>
      </c>
      <c r="P66" s="2" t="n">
        <f aca="false">MINUTE(O66)*60+SECOND(O66)</f>
        <v>0</v>
      </c>
      <c r="Q66" s="2" t="n">
        <f aca="false">MINUTE(G66)*60+SECOND(G66)</f>
        <v>0</v>
      </c>
      <c r="R66" s="1" t="n">
        <f aca="false">M66*(N66+C66)*(P66-Q66)/3600</f>
        <v>0</v>
      </c>
    </row>
    <row r="67" customFormat="false" ht="12" hidden="false" customHeight="false" outlineLevel="0" collapsed="false">
      <c r="M67" s="1" t="n">
        <v>0</v>
      </c>
      <c r="P67" s="2" t="n">
        <f aca="false">MINUTE(O67)*60+SECOND(O67)</f>
        <v>0</v>
      </c>
      <c r="Q67" s="2" t="n">
        <f aca="false">MINUTE(G67)*60+SECOND(G67)</f>
        <v>0</v>
      </c>
      <c r="R67" s="1" t="n">
        <f aca="false">M67*(N67+C67)*(P67-Q67)/3600</f>
        <v>0</v>
      </c>
    </row>
    <row r="68" customFormat="false" ht="12" hidden="false" customHeight="false" outlineLevel="0" collapsed="false">
      <c r="A68" s="1" t="s">
        <v>69</v>
      </c>
      <c r="B68" s="1" t="s">
        <v>16</v>
      </c>
      <c r="C68" s="1" t="n">
        <v>1743</v>
      </c>
      <c r="D68" s="1" t="n">
        <v>174.3</v>
      </c>
      <c r="E68" s="1" t="n">
        <v>4.6</v>
      </c>
      <c r="F68" s="1" t="n">
        <v>4</v>
      </c>
      <c r="G68" s="4" t="n">
        <v>0.00212962962962963</v>
      </c>
      <c r="H68" s="4" t="n">
        <v>0.00195601851851852</v>
      </c>
      <c r="I68" s="4" t="n">
        <v>0.00184027777777778</v>
      </c>
      <c r="J68" s="1" t="n">
        <v>9.3</v>
      </c>
      <c r="K68" s="1" t="s">
        <v>95</v>
      </c>
      <c r="L68" s="1" t="n">
        <v>705.3</v>
      </c>
      <c r="M68" s="1" t="n">
        <v>1</v>
      </c>
      <c r="N68" s="1" t="n">
        <v>2910</v>
      </c>
      <c r="O68" s="4" t="n">
        <v>0.0009375</v>
      </c>
      <c r="P68" s="2" t="n">
        <f aca="false">MINUTE(O68)*60+SECOND(O68)</f>
        <v>81</v>
      </c>
      <c r="Q68" s="2" t="n">
        <f aca="false">MINUTE(G68)*60+SECOND(G68)</f>
        <v>184</v>
      </c>
      <c r="R68" s="1" t="n">
        <f aca="false">M68*(N68+C68)*(P68-Q68)/3600</f>
        <v>-133.1275</v>
      </c>
    </row>
    <row r="69" customFormat="false" ht="12" hidden="false" customHeight="false" outlineLevel="0" collapsed="false">
      <c r="A69" s="1" t="s">
        <v>71</v>
      </c>
      <c r="B69" s="1" t="s">
        <v>96</v>
      </c>
      <c r="C69" s="1" t="n">
        <v>1743</v>
      </c>
      <c r="E69" s="1" t="n">
        <v>4.6</v>
      </c>
      <c r="F69" s="1" t="n">
        <v>4</v>
      </c>
      <c r="G69" s="4" t="n">
        <v>0.00212962962962963</v>
      </c>
      <c r="H69" s="4" t="n">
        <v>0.00195601851851852</v>
      </c>
      <c r="I69" s="4" t="n">
        <v>0.00184027777777778</v>
      </c>
      <c r="J69" s="1" t="n">
        <v>9.3</v>
      </c>
      <c r="K69" s="1" t="s">
        <v>97</v>
      </c>
      <c r="L69" s="1" t="n">
        <v>705.3</v>
      </c>
      <c r="M69" s="1" t="n">
        <v>0</v>
      </c>
      <c r="N69" s="1" t="n">
        <v>2910</v>
      </c>
      <c r="O69" s="4" t="n">
        <v>0.0009375</v>
      </c>
      <c r="P69" s="2" t="n">
        <f aca="false">MINUTE(O69)*60+SECOND(O69)</f>
        <v>81</v>
      </c>
      <c r="Q69" s="2" t="n">
        <f aca="false">MINUTE(G69)*60+SECOND(G69)</f>
        <v>184</v>
      </c>
      <c r="R69" s="1" t="n">
        <f aca="false">M69*(N69+C69)*(P69-Q69)/3600</f>
        <v>-0</v>
      </c>
    </row>
    <row r="70" customFormat="false" ht="12" hidden="false" customHeight="false" outlineLevel="0" collapsed="false">
      <c r="M70" s="1" t="n">
        <v>0</v>
      </c>
      <c r="P70" s="2" t="n">
        <f aca="false">MINUTE(O70)*60+SECOND(O70)</f>
        <v>0</v>
      </c>
      <c r="Q70" s="2" t="n">
        <f aca="false">MINUTE(G70)*60+SECOND(G70)</f>
        <v>0</v>
      </c>
      <c r="R70" s="1" t="n">
        <f aca="false">M70*(N70+C70)*(P70-Q70)/3600</f>
        <v>0</v>
      </c>
    </row>
    <row r="71" customFormat="false" ht="12" hidden="false" customHeight="false" outlineLevel="0" collapsed="false">
      <c r="M71" s="1" t="n">
        <v>0</v>
      </c>
      <c r="P71" s="2" t="n">
        <f aca="false">MINUTE(O71)*60+SECOND(O71)</f>
        <v>0</v>
      </c>
      <c r="Q71" s="2" t="n">
        <f aca="false">MINUTE(G71)*60+SECOND(G71)</f>
        <v>0</v>
      </c>
      <c r="R71" s="1" t="n">
        <f aca="false">M71*(N71+C71)*(P71-Q71)/3600</f>
        <v>0</v>
      </c>
    </row>
    <row r="72" customFormat="false" ht="12" hidden="false" customHeight="false" outlineLevel="0" collapsed="false">
      <c r="A72" s="1" t="s">
        <v>69</v>
      </c>
      <c r="B72" s="1" t="s">
        <v>17</v>
      </c>
      <c r="C72" s="1" t="n">
        <v>1904</v>
      </c>
      <c r="D72" s="1" t="n">
        <v>125.4</v>
      </c>
      <c r="E72" s="1" t="n">
        <v>8.9</v>
      </c>
      <c r="F72" s="1" t="n">
        <v>6.6</v>
      </c>
      <c r="G72" s="4" t="n">
        <v>0.000752314814814815</v>
      </c>
      <c r="H72" s="4" t="n">
        <v>0.000648148148148148</v>
      </c>
      <c r="I72" s="4" t="n">
        <v>0.000543981481481481</v>
      </c>
      <c r="J72" s="1" t="n">
        <v>3.8</v>
      </c>
      <c r="K72" s="1" t="s">
        <v>98</v>
      </c>
      <c r="L72" s="1" t="n">
        <v>457.4</v>
      </c>
      <c r="M72" s="1" t="n">
        <v>1</v>
      </c>
      <c r="N72" s="1" t="n">
        <v>3518</v>
      </c>
      <c r="O72" s="4" t="n">
        <v>0.000439814814814815</v>
      </c>
      <c r="P72" s="2" t="n">
        <f aca="false">MINUTE(O72)*60+SECOND(O72)</f>
        <v>38</v>
      </c>
      <c r="Q72" s="2" t="n">
        <f aca="false">MINUTE(G72)*60+SECOND(G72)</f>
        <v>65</v>
      </c>
      <c r="R72" s="1" t="n">
        <f aca="false">M72*(N72+C72)*(P72-Q72)/3600</f>
        <v>-40.665</v>
      </c>
    </row>
    <row r="73" customFormat="false" ht="12" hidden="false" customHeight="false" outlineLevel="0" collapsed="false">
      <c r="A73" s="1" t="s">
        <v>71</v>
      </c>
      <c r="B73" s="1" t="s">
        <v>99</v>
      </c>
      <c r="C73" s="1" t="n">
        <v>1904</v>
      </c>
      <c r="E73" s="1" t="n">
        <v>8.9</v>
      </c>
      <c r="F73" s="1" t="n">
        <v>6.6</v>
      </c>
      <c r="G73" s="4" t="n">
        <v>0.000752314814814815</v>
      </c>
      <c r="H73" s="4" t="n">
        <v>0.000648148148148148</v>
      </c>
      <c r="I73" s="4" t="n">
        <v>0.000543981481481481</v>
      </c>
      <c r="J73" s="1" t="n">
        <v>3.8</v>
      </c>
      <c r="K73" s="1" t="s">
        <v>100</v>
      </c>
      <c r="L73" s="1" t="n">
        <v>457.4</v>
      </c>
      <c r="M73" s="1" t="n">
        <v>0</v>
      </c>
      <c r="N73" s="1" t="n">
        <v>3518</v>
      </c>
      <c r="O73" s="4" t="n">
        <v>0.000439814814814815</v>
      </c>
      <c r="P73" s="2" t="n">
        <f aca="false">MINUTE(O73)*60+SECOND(O73)</f>
        <v>38</v>
      </c>
      <c r="Q73" s="2" t="n">
        <f aca="false">MINUTE(G73)*60+SECOND(G73)</f>
        <v>65</v>
      </c>
      <c r="R73" s="1" t="n">
        <f aca="false">M73*(N73+C73)*(P73-Q73)/3600</f>
        <v>-0</v>
      </c>
    </row>
    <row r="74" customFormat="false" ht="12" hidden="false" customHeight="false" outlineLevel="0" collapsed="false">
      <c r="M74" s="1" t="n">
        <v>0</v>
      </c>
      <c r="P74" s="2" t="n">
        <f aca="false">MINUTE(O74)*60+SECOND(O74)</f>
        <v>0</v>
      </c>
      <c r="Q74" s="2" t="n">
        <f aca="false">MINUTE(G74)*60+SECOND(G74)</f>
        <v>0</v>
      </c>
      <c r="R74" s="1" t="n">
        <f aca="false">M74*(N74+C74)*(P74-Q74)/3600</f>
        <v>0</v>
      </c>
    </row>
    <row r="75" customFormat="false" ht="12" hidden="false" customHeight="false" outlineLevel="0" collapsed="false">
      <c r="M75" s="1" t="n">
        <v>0</v>
      </c>
      <c r="P75" s="2" t="n">
        <f aca="false">MINUTE(O75)*60+SECOND(O75)</f>
        <v>0</v>
      </c>
      <c r="Q75" s="2" t="n">
        <f aca="false">MINUTE(G75)*60+SECOND(G75)</f>
        <v>0</v>
      </c>
      <c r="R75" s="1" t="n">
        <f aca="false">M75*(N75+C75)*(P75-Q75)/3600</f>
        <v>0</v>
      </c>
    </row>
    <row r="76" customFormat="false" ht="12" hidden="false" customHeight="false" outlineLevel="0" collapsed="false">
      <c r="A76" s="1" t="s">
        <v>69</v>
      </c>
      <c r="B76" s="1" t="s">
        <v>18</v>
      </c>
      <c r="C76" s="1" t="n">
        <v>167</v>
      </c>
      <c r="D76" s="1" t="n">
        <v>171.6</v>
      </c>
      <c r="E76" s="1" t="n">
        <v>35.5</v>
      </c>
      <c r="F76" s="1" t="n">
        <v>17.7</v>
      </c>
      <c r="G76" s="4" t="n">
        <v>0.00274305555555556</v>
      </c>
      <c r="H76" s="4" t="n">
        <v>0.00144675925925926</v>
      </c>
      <c r="I76" s="4" t="n">
        <v>0.00142361111111111</v>
      </c>
      <c r="J76" s="1" t="n">
        <v>0.1</v>
      </c>
      <c r="K76" s="1" t="s">
        <v>101</v>
      </c>
      <c r="L76" s="1" t="n">
        <v>390.2</v>
      </c>
      <c r="M76" s="1" t="n">
        <v>1</v>
      </c>
      <c r="N76" s="1" t="n">
        <v>600</v>
      </c>
      <c r="O76" s="4" t="n">
        <v>0.00168981481481482</v>
      </c>
      <c r="P76" s="2" t="n">
        <f aca="false">MINUTE(O76)*60+SECOND(O76)</f>
        <v>146</v>
      </c>
      <c r="Q76" s="2" t="n">
        <f aca="false">MINUTE(G76)*60+SECOND(G76)</f>
        <v>237</v>
      </c>
      <c r="R76" s="1" t="n">
        <f aca="false">M76*(N76+C76)*(P76-Q76)/3600</f>
        <v>-19.3880555555556</v>
      </c>
    </row>
    <row r="77" customFormat="false" ht="12" hidden="false" customHeight="false" outlineLevel="0" collapsed="false">
      <c r="A77" s="1" t="s">
        <v>71</v>
      </c>
      <c r="B77" s="1" t="s">
        <v>96</v>
      </c>
      <c r="C77" s="1" t="n">
        <v>167</v>
      </c>
      <c r="E77" s="1" t="n">
        <v>35.5</v>
      </c>
      <c r="F77" s="1" t="n">
        <v>17.7</v>
      </c>
      <c r="G77" s="4" t="n">
        <v>0.00274305555555556</v>
      </c>
      <c r="H77" s="4" t="n">
        <v>0.00144675925925926</v>
      </c>
      <c r="I77" s="4" t="n">
        <v>0.00142361111111111</v>
      </c>
      <c r="J77" s="1" t="n">
        <v>0.1</v>
      </c>
      <c r="K77" s="1" t="s">
        <v>101</v>
      </c>
      <c r="L77" s="1" t="n">
        <v>390.2</v>
      </c>
      <c r="M77" s="1" t="n">
        <v>0</v>
      </c>
      <c r="N77" s="1" t="n">
        <v>600</v>
      </c>
      <c r="O77" s="4" t="n">
        <v>0.00168981481481482</v>
      </c>
      <c r="P77" s="2" t="n">
        <f aca="false">MINUTE(O77)*60+SECOND(O77)</f>
        <v>146</v>
      </c>
      <c r="Q77" s="2" t="n">
        <f aca="false">MINUTE(G77)*60+SECOND(G77)</f>
        <v>237</v>
      </c>
      <c r="R77" s="1" t="n">
        <f aca="false">M77*(N77+C77)*(P77-Q77)/3600</f>
        <v>-0</v>
      </c>
    </row>
    <row r="78" customFormat="false" ht="12" hidden="false" customHeight="false" outlineLevel="0" collapsed="false">
      <c r="M78" s="1" t="n">
        <v>0</v>
      </c>
      <c r="P78" s="2" t="n">
        <f aca="false">MINUTE(O78)*60+SECOND(O78)</f>
        <v>0</v>
      </c>
      <c r="Q78" s="2" t="n">
        <f aca="false">MINUTE(G78)*60+SECOND(G78)</f>
        <v>0</v>
      </c>
      <c r="R78" s="1" t="n">
        <f aca="false">M78*(N78+C78)*(P78-Q78)/3600</f>
        <v>0</v>
      </c>
    </row>
    <row r="79" customFormat="false" ht="12" hidden="false" customHeight="false" outlineLevel="0" collapsed="false">
      <c r="M79" s="1" t="n">
        <v>0</v>
      </c>
      <c r="P79" s="2" t="n">
        <f aca="false">MINUTE(O79)*60+SECOND(O79)</f>
        <v>0</v>
      </c>
      <c r="Q79" s="2" t="n">
        <f aca="false">MINUTE(G79)*60+SECOND(G79)</f>
        <v>0</v>
      </c>
      <c r="R79" s="1" t="n">
        <f aca="false">M79*(N79+C79)*(P79-Q79)/3600</f>
        <v>0</v>
      </c>
    </row>
    <row r="80" customFormat="false" ht="12" hidden="false" customHeight="false" outlineLevel="0" collapsed="false">
      <c r="A80" s="1" t="s">
        <v>69</v>
      </c>
      <c r="B80" s="1" t="s">
        <v>19</v>
      </c>
      <c r="C80" s="1" t="n">
        <v>593</v>
      </c>
      <c r="D80" s="1" t="n">
        <v>14.2</v>
      </c>
      <c r="E80" s="1" t="n">
        <v>37.1</v>
      </c>
      <c r="F80" s="1" t="n">
        <v>37.1</v>
      </c>
      <c r="G80" s="4" t="n">
        <v>0.00130787037037037</v>
      </c>
      <c r="H80" s="4" t="n">
        <v>1.15740740740741E-005</v>
      </c>
      <c r="I80" s="4" t="n">
        <v>0</v>
      </c>
      <c r="J80" s="1" t="n">
        <v>0</v>
      </c>
      <c r="K80" s="1" t="s">
        <v>102</v>
      </c>
      <c r="L80" s="1" t="n">
        <v>1382</v>
      </c>
      <c r="M80" s="1" t="n">
        <v>1</v>
      </c>
      <c r="N80" s="1" t="n">
        <v>593</v>
      </c>
      <c r="O80" s="4" t="n">
        <v>0.00140046296296296</v>
      </c>
      <c r="P80" s="2" t="n">
        <f aca="false">MINUTE(O80)*60+SECOND(O80)</f>
        <v>121</v>
      </c>
      <c r="Q80" s="2" t="n">
        <f aca="false">MINUTE(G80)*60+SECOND(G80)</f>
        <v>113</v>
      </c>
      <c r="R80" s="1" t="n">
        <f aca="false">M80*(N80+C80)*(P80-Q80)/3600</f>
        <v>2.63555555555556</v>
      </c>
    </row>
    <row r="81" customFormat="false" ht="12" hidden="false" customHeight="false" outlineLevel="0" collapsed="false">
      <c r="A81" s="1" t="s">
        <v>71</v>
      </c>
      <c r="B81" s="1" t="s">
        <v>92</v>
      </c>
      <c r="C81" s="1" t="n">
        <v>593</v>
      </c>
      <c r="E81" s="1" t="n">
        <v>37.1</v>
      </c>
      <c r="F81" s="1" t="n">
        <v>37.1</v>
      </c>
      <c r="G81" s="4" t="n">
        <v>0.00130787037037037</v>
      </c>
      <c r="H81" s="4" t="n">
        <v>1.15740740740741E-005</v>
      </c>
      <c r="I81" s="4" t="n">
        <v>0</v>
      </c>
      <c r="J81" s="1" t="n">
        <v>0</v>
      </c>
      <c r="K81" s="1" t="s">
        <v>102</v>
      </c>
      <c r="L81" s="1" t="n">
        <v>1382</v>
      </c>
      <c r="M81" s="1" t="n">
        <v>0</v>
      </c>
      <c r="N81" s="1" t="n">
        <v>593</v>
      </c>
      <c r="O81" s="4" t="n">
        <v>0.00140046296296296</v>
      </c>
      <c r="P81" s="2" t="n">
        <f aca="false">MINUTE(O81)*60+SECOND(O81)</f>
        <v>121</v>
      </c>
      <c r="Q81" s="2" t="n">
        <f aca="false">MINUTE(G81)*60+SECOND(G81)</f>
        <v>113</v>
      </c>
      <c r="R81" s="1" t="n">
        <f aca="false">M81*(N81+C81)*(P81-Q81)/3600</f>
        <v>0</v>
      </c>
    </row>
    <row r="82" customFormat="false" ht="12" hidden="false" customHeight="false" outlineLevel="0" collapsed="false">
      <c r="M82" s="1" t="n">
        <v>0</v>
      </c>
      <c r="P82" s="2" t="n">
        <f aca="false">MINUTE(O82)*60+SECOND(O82)</f>
        <v>0</v>
      </c>
      <c r="Q82" s="2" t="n">
        <f aca="false">MINUTE(G82)*60+SECOND(G82)</f>
        <v>0</v>
      </c>
      <c r="R82" s="1" t="n">
        <f aca="false">M82*(N82+C82)*(P82-Q82)/3600</f>
        <v>0</v>
      </c>
    </row>
    <row r="83" customFormat="false" ht="12" hidden="false" customHeight="false" outlineLevel="0" collapsed="false">
      <c r="M83" s="1" t="n">
        <v>0</v>
      </c>
      <c r="P83" s="2" t="n">
        <f aca="false">MINUTE(O83)*60+SECOND(O83)</f>
        <v>0</v>
      </c>
      <c r="Q83" s="2" t="n">
        <f aca="false">MINUTE(G83)*60+SECOND(G83)</f>
        <v>0</v>
      </c>
      <c r="R83" s="1" t="n">
        <f aca="false">M83*(N83+C83)*(P83-Q83)/3600</f>
        <v>0</v>
      </c>
    </row>
    <row r="84" customFormat="false" ht="12" hidden="false" customHeight="false" outlineLevel="0" collapsed="false">
      <c r="A84" s="1" t="s">
        <v>69</v>
      </c>
      <c r="B84" s="1" t="s">
        <v>20</v>
      </c>
      <c r="C84" s="1" t="n">
        <v>2230</v>
      </c>
      <c r="D84" s="1" t="n">
        <v>46.3</v>
      </c>
      <c r="E84" s="1" t="n">
        <v>30</v>
      </c>
      <c r="F84" s="1" t="n">
        <v>17</v>
      </c>
      <c r="G84" s="4" t="n">
        <v>0.000289351851851852</v>
      </c>
      <c r="H84" s="4" t="n">
        <v>0.000185185185185185</v>
      </c>
      <c r="I84" s="4" t="n">
        <v>0.000104166666666667</v>
      </c>
      <c r="J84" s="1" t="n">
        <v>1.7</v>
      </c>
      <c r="K84" s="1" t="s">
        <v>103</v>
      </c>
      <c r="L84" s="1" t="n">
        <v>544.5</v>
      </c>
      <c r="M84" s="1" t="n">
        <v>1</v>
      </c>
      <c r="N84" s="1" t="n">
        <v>3356</v>
      </c>
      <c r="O84" s="4" t="n">
        <v>0.000486111111111111</v>
      </c>
      <c r="P84" s="2" t="n">
        <f aca="false">MINUTE(O84)*60+SECOND(O84)</f>
        <v>42</v>
      </c>
      <c r="Q84" s="2" t="n">
        <f aca="false">MINUTE(G84)*60+SECOND(G84)</f>
        <v>25</v>
      </c>
      <c r="R84" s="1" t="n">
        <f aca="false">M84*(N84+C84)*(P84-Q84)/3600</f>
        <v>26.3783333333333</v>
      </c>
    </row>
    <row r="85" customFormat="false" ht="12" hidden="false" customHeight="false" outlineLevel="0" collapsed="false">
      <c r="A85" s="1" t="s">
        <v>71</v>
      </c>
      <c r="B85" s="1" t="s">
        <v>104</v>
      </c>
      <c r="C85" s="1" t="n">
        <v>2230</v>
      </c>
      <c r="E85" s="1" t="n">
        <v>30</v>
      </c>
      <c r="F85" s="1" t="n">
        <v>17</v>
      </c>
      <c r="G85" s="4" t="n">
        <v>0.000289351851851852</v>
      </c>
      <c r="H85" s="4" t="n">
        <v>0.000185185185185185</v>
      </c>
      <c r="I85" s="4" t="n">
        <v>0.000104166666666667</v>
      </c>
      <c r="J85" s="1" t="n">
        <v>1.7</v>
      </c>
      <c r="K85" s="1" t="s">
        <v>105</v>
      </c>
      <c r="L85" s="1" t="n">
        <v>544.5</v>
      </c>
      <c r="M85" s="1" t="n">
        <v>0</v>
      </c>
      <c r="N85" s="1" t="n">
        <v>3356</v>
      </c>
      <c r="O85" s="4" t="n">
        <v>0.000486111111111111</v>
      </c>
      <c r="P85" s="2" t="n">
        <f aca="false">MINUTE(O85)*60+SECOND(O85)</f>
        <v>42</v>
      </c>
      <c r="Q85" s="2" t="n">
        <f aca="false">MINUTE(G85)*60+SECOND(G85)</f>
        <v>25</v>
      </c>
      <c r="R85" s="1" t="n">
        <f aca="false">M85*(N85+C85)*(P85-Q85)/3600</f>
        <v>0</v>
      </c>
    </row>
    <row r="86" customFormat="false" ht="12" hidden="false" customHeight="false" outlineLevel="0" collapsed="false">
      <c r="M86" s="1" t="n">
        <v>0</v>
      </c>
      <c r="P86" s="2" t="n">
        <f aca="false">MINUTE(O86)*60+SECOND(O86)</f>
        <v>0</v>
      </c>
      <c r="Q86" s="2" t="n">
        <f aca="false">MINUTE(G86)*60+SECOND(G86)</f>
        <v>0</v>
      </c>
      <c r="R86" s="1" t="n">
        <f aca="false">M86*(N86+C86)*(P86-Q86)/3600</f>
        <v>0</v>
      </c>
    </row>
    <row r="87" customFormat="false" ht="12" hidden="false" customHeight="false" outlineLevel="0" collapsed="false">
      <c r="M87" s="1" t="n">
        <v>0</v>
      </c>
      <c r="P87" s="2" t="n">
        <f aca="false">MINUTE(O87)*60+SECOND(O87)</f>
        <v>0</v>
      </c>
      <c r="Q87" s="2" t="n">
        <f aca="false">MINUTE(G87)*60+SECOND(G87)</f>
        <v>0</v>
      </c>
      <c r="R87" s="1" t="n">
        <f aca="false">M87*(N87+C87)*(P87-Q87)/3600</f>
        <v>0</v>
      </c>
    </row>
    <row r="88" customFormat="false" ht="12" hidden="false" customHeight="false" outlineLevel="0" collapsed="false">
      <c r="A88" s="1" t="s">
        <v>69</v>
      </c>
      <c r="B88" s="1" t="s">
        <v>21</v>
      </c>
      <c r="C88" s="1" t="n">
        <v>1908</v>
      </c>
      <c r="D88" s="1" t="n">
        <v>35.9</v>
      </c>
      <c r="E88" s="1" t="n">
        <v>36</v>
      </c>
      <c r="F88" s="1" t="n">
        <v>23.4</v>
      </c>
      <c r="G88" s="4" t="n">
        <v>6.94444444444444E-005</v>
      </c>
      <c r="H88" s="4" t="n">
        <v>3.47222222222222E-005</v>
      </c>
      <c r="I88" s="4" t="n">
        <v>1.15740740740741E-005</v>
      </c>
      <c r="J88" s="1" t="n">
        <v>0.4</v>
      </c>
      <c r="K88" s="1" t="s">
        <v>106</v>
      </c>
      <c r="L88" s="1" t="n">
        <v>169.9</v>
      </c>
      <c r="M88" s="1" t="n">
        <v>1</v>
      </c>
      <c r="N88" s="1" t="n">
        <v>3518</v>
      </c>
      <c r="O88" s="4" t="n">
        <v>0.000127314814814815</v>
      </c>
      <c r="P88" s="2" t="n">
        <f aca="false">MINUTE(O88)*60+SECOND(O88)</f>
        <v>11</v>
      </c>
      <c r="Q88" s="2" t="n">
        <f aca="false">MINUTE(G88)*60+SECOND(G88)</f>
        <v>6</v>
      </c>
      <c r="R88" s="1" t="n">
        <f aca="false">M88*(N88+C88)*(P88-Q88)/3600</f>
        <v>7.53611111111111</v>
      </c>
    </row>
    <row r="89" customFormat="false" ht="12" hidden="false" customHeight="false" outlineLevel="0" collapsed="false">
      <c r="A89" s="1" t="s">
        <v>71</v>
      </c>
      <c r="B89" s="1" t="s">
        <v>107</v>
      </c>
      <c r="C89" s="1" t="n">
        <v>1908</v>
      </c>
      <c r="E89" s="1" t="n">
        <v>36</v>
      </c>
      <c r="F89" s="1" t="n">
        <v>23.4</v>
      </c>
      <c r="G89" s="4" t="n">
        <v>6.94444444444444E-005</v>
      </c>
      <c r="H89" s="4" t="n">
        <v>3.47222222222222E-005</v>
      </c>
      <c r="I89" s="4" t="n">
        <v>1.15740740740741E-005</v>
      </c>
      <c r="J89" s="1" t="n">
        <v>0.4</v>
      </c>
      <c r="K89" s="1" t="s">
        <v>106</v>
      </c>
      <c r="L89" s="1" t="n">
        <v>169.9</v>
      </c>
      <c r="M89" s="1" t="n">
        <v>0</v>
      </c>
      <c r="N89" s="1" t="n">
        <v>3518</v>
      </c>
      <c r="O89" s="4" t="n">
        <v>0.000127314814814815</v>
      </c>
      <c r="P89" s="2" t="n">
        <f aca="false">MINUTE(O89)*60+SECOND(O89)</f>
        <v>11</v>
      </c>
      <c r="Q89" s="2" t="n">
        <f aca="false">MINUTE(G89)*60+SECOND(G89)</f>
        <v>6</v>
      </c>
      <c r="R89" s="1" t="n">
        <f aca="false">M89*(N89+C89)*(P89-Q89)/3600</f>
        <v>0</v>
      </c>
    </row>
    <row r="90" customFormat="false" ht="12" hidden="false" customHeight="false" outlineLevel="0" collapsed="false">
      <c r="M90" s="1" t="n">
        <v>0</v>
      </c>
      <c r="P90" s="2" t="n">
        <f aca="false">MINUTE(O90)*60+SECOND(O90)</f>
        <v>0</v>
      </c>
      <c r="Q90" s="2" t="n">
        <f aca="false">MINUTE(G90)*60+SECOND(G90)</f>
        <v>0</v>
      </c>
      <c r="R90" s="1" t="n">
        <f aca="false">M90*(N90+C90)*(P90-Q90)/3600</f>
        <v>0</v>
      </c>
    </row>
    <row r="91" customFormat="false" ht="12" hidden="false" customHeight="false" outlineLevel="0" collapsed="false">
      <c r="M91" s="1" t="n">
        <v>0</v>
      </c>
      <c r="P91" s="2" t="n">
        <f aca="false">MINUTE(O91)*60+SECOND(O91)</f>
        <v>0</v>
      </c>
      <c r="Q91" s="2" t="n">
        <f aca="false">MINUTE(G91)*60+SECOND(G91)</f>
        <v>0</v>
      </c>
      <c r="R91" s="1" t="n">
        <f aca="false">M91*(N91+C91)*(P91-Q91)/3600</f>
        <v>0</v>
      </c>
    </row>
    <row r="92" customFormat="false" ht="12" hidden="false" customHeight="false" outlineLevel="0" collapsed="false">
      <c r="A92" s="1" t="s">
        <v>69</v>
      </c>
      <c r="B92" s="1" t="s">
        <v>22</v>
      </c>
      <c r="C92" s="1" t="n">
        <v>2235</v>
      </c>
      <c r="D92" s="1" t="n">
        <v>44.1</v>
      </c>
      <c r="E92" s="1" t="n">
        <v>38</v>
      </c>
      <c r="F92" s="1" t="n">
        <v>22.3</v>
      </c>
      <c r="G92" s="4" t="n">
        <v>6.94444444444444E-005</v>
      </c>
      <c r="H92" s="4" t="n">
        <v>3.47222222222222E-005</v>
      </c>
      <c r="I92" s="4" t="n">
        <v>2.31481481481481E-005</v>
      </c>
      <c r="J92" s="1" t="n">
        <v>0.4</v>
      </c>
      <c r="K92" s="1" t="s">
        <v>108</v>
      </c>
      <c r="L92" s="1" t="n">
        <v>193.5</v>
      </c>
      <c r="M92" s="1" t="n">
        <v>1</v>
      </c>
      <c r="N92" s="1" t="n">
        <v>3356</v>
      </c>
      <c r="O92" s="4" t="n">
        <v>0.000138888888888889</v>
      </c>
      <c r="P92" s="2" t="n">
        <f aca="false">MINUTE(O92)*60+SECOND(O92)</f>
        <v>12</v>
      </c>
      <c r="Q92" s="2" t="n">
        <f aca="false">MINUTE(G92)*60+SECOND(G92)</f>
        <v>6</v>
      </c>
      <c r="R92" s="1" t="n">
        <f aca="false">M92*(N92+C92)*(P92-Q92)/3600</f>
        <v>9.31833333333333</v>
      </c>
    </row>
    <row r="93" customFormat="false" ht="12" hidden="false" customHeight="false" outlineLevel="0" collapsed="false">
      <c r="A93" s="1" t="s">
        <v>71</v>
      </c>
      <c r="B93" s="1" t="s">
        <v>109</v>
      </c>
      <c r="C93" s="1" t="n">
        <v>2235</v>
      </c>
      <c r="E93" s="1" t="n">
        <v>38</v>
      </c>
      <c r="F93" s="1" t="n">
        <v>22.3</v>
      </c>
      <c r="G93" s="4" t="n">
        <v>6.94444444444444E-005</v>
      </c>
      <c r="H93" s="4" t="n">
        <v>3.47222222222222E-005</v>
      </c>
      <c r="I93" s="4" t="n">
        <v>2.31481481481481E-005</v>
      </c>
      <c r="J93" s="1" t="n">
        <v>0.4</v>
      </c>
      <c r="K93" s="1" t="s">
        <v>108</v>
      </c>
      <c r="L93" s="1" t="n">
        <v>193.5</v>
      </c>
      <c r="M93" s="1" t="n">
        <v>0</v>
      </c>
      <c r="N93" s="1" t="n">
        <v>3356</v>
      </c>
      <c r="O93" s="4" t="n">
        <v>0.000138888888888889</v>
      </c>
      <c r="P93" s="2" t="n">
        <f aca="false">MINUTE(O93)*60+SECOND(O93)</f>
        <v>12</v>
      </c>
      <c r="Q93" s="2" t="n">
        <f aca="false">MINUTE(G93)*60+SECOND(G93)</f>
        <v>6</v>
      </c>
      <c r="R93" s="1" t="n">
        <f aca="false">M93*(N93+C93)*(P93-Q93)/3600</f>
        <v>0</v>
      </c>
    </row>
    <row r="94" customFormat="false" ht="12" hidden="false" customHeight="false" outlineLevel="0" collapsed="false">
      <c r="M94" s="1" t="n">
        <v>0</v>
      </c>
      <c r="P94" s="2" t="n">
        <f aca="false">MINUTE(O94)*60+SECOND(O94)</f>
        <v>0</v>
      </c>
      <c r="Q94" s="2" t="n">
        <f aca="false">MINUTE(G94)*60+SECOND(G94)</f>
        <v>0</v>
      </c>
      <c r="R94" s="1" t="n">
        <f aca="false">M94*(N94+C94)*(P94-Q94)/3600</f>
        <v>0</v>
      </c>
    </row>
    <row r="95" customFormat="false" ht="12" hidden="false" customHeight="false" outlineLevel="0" collapsed="false">
      <c r="M95" s="1" t="n">
        <v>0</v>
      </c>
      <c r="P95" s="2" t="n">
        <f aca="false">MINUTE(O95)*60+SECOND(O95)</f>
        <v>0</v>
      </c>
      <c r="Q95" s="2" t="n">
        <f aca="false">MINUTE(G95)*60+SECOND(G95)</f>
        <v>0</v>
      </c>
      <c r="R95" s="1" t="n">
        <f aca="false">M95*(N95+C95)*(P95-Q95)/3600</f>
        <v>0</v>
      </c>
    </row>
    <row r="96" customFormat="false" ht="12" hidden="false" customHeight="false" outlineLevel="0" collapsed="false">
      <c r="A96" s="1" t="s">
        <v>69</v>
      </c>
      <c r="B96" s="1" t="s">
        <v>23</v>
      </c>
      <c r="C96" s="1" t="n">
        <v>1911</v>
      </c>
      <c r="D96" s="1" t="n">
        <v>36.8</v>
      </c>
      <c r="E96" s="1" t="n">
        <v>37.6</v>
      </c>
      <c r="F96" s="1" t="n">
        <v>23</v>
      </c>
      <c r="G96" s="4" t="n">
        <v>9.25925925925926E-005</v>
      </c>
      <c r="H96" s="4" t="n">
        <v>4.62962962962963E-005</v>
      </c>
      <c r="I96" s="4" t="n">
        <v>2.31481481481481E-005</v>
      </c>
      <c r="J96" s="1" t="n">
        <v>0.5</v>
      </c>
      <c r="K96" s="1" t="s">
        <v>110</v>
      </c>
      <c r="L96" s="1" t="n">
        <v>212.7</v>
      </c>
      <c r="M96" s="1" t="n">
        <v>1</v>
      </c>
      <c r="N96" s="1" t="n">
        <v>3519</v>
      </c>
      <c r="O96" s="4" t="n">
        <v>0.000162037037037037</v>
      </c>
      <c r="P96" s="2" t="n">
        <f aca="false">MINUTE(O96)*60+SECOND(O96)</f>
        <v>14</v>
      </c>
      <c r="Q96" s="2" t="n">
        <f aca="false">MINUTE(G96)*60+SECOND(G96)</f>
        <v>8</v>
      </c>
      <c r="R96" s="1" t="n">
        <f aca="false">M96*(N96+C96)*(P96-Q96)/3600</f>
        <v>9.05</v>
      </c>
    </row>
    <row r="97" customFormat="false" ht="12" hidden="false" customHeight="false" outlineLevel="0" collapsed="false">
      <c r="A97" s="1" t="s">
        <v>71</v>
      </c>
      <c r="B97" s="1" t="s">
        <v>111</v>
      </c>
      <c r="C97" s="1" t="n">
        <v>1911</v>
      </c>
      <c r="E97" s="1" t="n">
        <v>37.6</v>
      </c>
      <c r="F97" s="1" t="n">
        <v>23</v>
      </c>
      <c r="G97" s="4" t="n">
        <v>9.25925925925926E-005</v>
      </c>
      <c r="H97" s="4" t="n">
        <v>4.62962962962963E-005</v>
      </c>
      <c r="I97" s="4" t="n">
        <v>2.31481481481481E-005</v>
      </c>
      <c r="J97" s="1" t="n">
        <v>0.5</v>
      </c>
      <c r="K97" s="1" t="s">
        <v>110</v>
      </c>
      <c r="L97" s="1" t="n">
        <v>212.7</v>
      </c>
      <c r="M97" s="1" t="n">
        <v>0</v>
      </c>
      <c r="N97" s="1" t="n">
        <v>3519</v>
      </c>
      <c r="O97" s="4" t="n">
        <v>0.000162037037037037</v>
      </c>
      <c r="P97" s="2" t="n">
        <f aca="false">MINUTE(O97)*60+SECOND(O97)</f>
        <v>14</v>
      </c>
      <c r="Q97" s="2" t="n">
        <f aca="false">MINUTE(G97)*60+SECOND(G97)</f>
        <v>8</v>
      </c>
      <c r="R97" s="1" t="n">
        <f aca="false">M97*(N97+C97)*(P97-Q97)/3600</f>
        <v>0</v>
      </c>
    </row>
    <row r="98" customFormat="false" ht="12" hidden="false" customHeight="false" outlineLevel="0" collapsed="false">
      <c r="M98" s="1" t="n">
        <v>0</v>
      </c>
      <c r="P98" s="2" t="n">
        <f aca="false">MINUTE(O98)*60+SECOND(O98)</f>
        <v>0</v>
      </c>
      <c r="Q98" s="2" t="n">
        <f aca="false">MINUTE(G98)*60+SECOND(G98)</f>
        <v>0</v>
      </c>
      <c r="R98" s="1" t="n">
        <f aca="false">M98*(N98+C98)*(P98-Q98)/3600</f>
        <v>0</v>
      </c>
    </row>
    <row r="99" customFormat="false" ht="12" hidden="false" customHeight="false" outlineLevel="0" collapsed="false">
      <c r="M99" s="1" t="n">
        <v>0</v>
      </c>
      <c r="P99" s="2" t="n">
        <f aca="false">MINUTE(O99)*60+SECOND(O99)</f>
        <v>0</v>
      </c>
      <c r="Q99" s="2" t="n">
        <f aca="false">MINUTE(G99)*60+SECOND(G99)</f>
        <v>0</v>
      </c>
      <c r="R99" s="1" t="n">
        <f aca="false">M99*(N99+C99)*(P99-Q99)/3600</f>
        <v>0</v>
      </c>
    </row>
    <row r="100" customFormat="false" ht="12" hidden="false" customHeight="false" outlineLevel="0" collapsed="false">
      <c r="A100" s="1" t="s">
        <v>69</v>
      </c>
      <c r="B100" s="1" t="s">
        <v>24</v>
      </c>
      <c r="C100" s="1" t="n">
        <v>2242</v>
      </c>
      <c r="D100" s="1" t="n">
        <v>45.8</v>
      </c>
      <c r="E100" s="1" t="n">
        <v>38.3</v>
      </c>
      <c r="F100" s="1" t="n">
        <v>21.6</v>
      </c>
      <c r="G100" s="4" t="n">
        <v>0.000104166666666667</v>
      </c>
      <c r="H100" s="4" t="n">
        <v>5.78703703703704E-005</v>
      </c>
      <c r="I100" s="4" t="n">
        <v>3.47222222222222E-005</v>
      </c>
      <c r="J100" s="1" t="n">
        <v>0.5</v>
      </c>
      <c r="K100" s="1" t="s">
        <v>112</v>
      </c>
      <c r="L100" s="1" t="n">
        <v>249.8</v>
      </c>
      <c r="M100" s="1" t="n">
        <v>1</v>
      </c>
      <c r="N100" s="1" t="n">
        <v>3354</v>
      </c>
      <c r="O100" s="4" t="n">
        <v>0.000185185185185185</v>
      </c>
      <c r="P100" s="2" t="n">
        <f aca="false">MINUTE(O100)*60+SECOND(O100)</f>
        <v>16</v>
      </c>
      <c r="Q100" s="2" t="n">
        <f aca="false">MINUTE(G100)*60+SECOND(G100)</f>
        <v>9</v>
      </c>
      <c r="R100" s="1" t="n">
        <f aca="false">M100*(N100+C100)*(P100-Q100)/3600</f>
        <v>10.8811111111111</v>
      </c>
    </row>
    <row r="101" customFormat="false" ht="12" hidden="false" customHeight="false" outlineLevel="0" collapsed="false">
      <c r="A101" s="1" t="s">
        <v>71</v>
      </c>
      <c r="B101" s="1" t="s">
        <v>111</v>
      </c>
      <c r="C101" s="1" t="n">
        <v>2242</v>
      </c>
      <c r="E101" s="1" t="n">
        <v>38.3</v>
      </c>
      <c r="F101" s="1" t="n">
        <v>21.6</v>
      </c>
      <c r="G101" s="4" t="n">
        <v>0.000104166666666667</v>
      </c>
      <c r="H101" s="4" t="n">
        <v>5.78703703703704E-005</v>
      </c>
      <c r="I101" s="4" t="n">
        <v>3.47222222222222E-005</v>
      </c>
      <c r="J101" s="1" t="n">
        <v>0.5</v>
      </c>
      <c r="K101" s="1" t="s">
        <v>112</v>
      </c>
      <c r="L101" s="1" t="n">
        <v>249.8</v>
      </c>
      <c r="M101" s="1" t="n">
        <v>0</v>
      </c>
      <c r="N101" s="1" t="n">
        <v>3354</v>
      </c>
      <c r="O101" s="4" t="n">
        <v>0.000185185185185185</v>
      </c>
      <c r="P101" s="2" t="n">
        <f aca="false">MINUTE(O101)*60+SECOND(O101)</f>
        <v>16</v>
      </c>
      <c r="Q101" s="2" t="n">
        <f aca="false">MINUTE(G101)*60+SECOND(G101)</f>
        <v>9</v>
      </c>
      <c r="R101" s="1" t="n">
        <f aca="false">M101*(N101+C101)*(P101-Q101)/3600</f>
        <v>0</v>
      </c>
    </row>
    <row r="102" customFormat="false" ht="12" hidden="false" customHeight="false" outlineLevel="0" collapsed="false">
      <c r="M102" s="1" t="n">
        <v>0</v>
      </c>
      <c r="P102" s="2" t="n">
        <f aca="false">MINUTE(O102)*60+SECOND(O102)</f>
        <v>0</v>
      </c>
      <c r="Q102" s="2" t="n">
        <f aca="false">MINUTE(G102)*60+SECOND(G102)</f>
        <v>0</v>
      </c>
      <c r="R102" s="1" t="n">
        <f aca="false">M102*(N102+C102)*(P102-Q102)/3600</f>
        <v>0</v>
      </c>
    </row>
    <row r="103" customFormat="false" ht="12" hidden="false" customHeight="false" outlineLevel="0" collapsed="false">
      <c r="M103" s="1" t="n">
        <v>0</v>
      </c>
      <c r="P103" s="2" t="n">
        <f aca="false">MINUTE(O103)*60+SECOND(O103)</f>
        <v>0</v>
      </c>
      <c r="Q103" s="2" t="n">
        <f aca="false">MINUTE(G103)*60+SECOND(G103)</f>
        <v>0</v>
      </c>
      <c r="R103" s="1" t="n">
        <f aca="false">M103*(N103+C103)*(P103-Q103)/3600</f>
        <v>0</v>
      </c>
    </row>
    <row r="104" customFormat="false" ht="12" hidden="false" customHeight="false" outlineLevel="0" collapsed="false">
      <c r="A104" s="1" t="s">
        <v>69</v>
      </c>
      <c r="B104" s="1" t="s">
        <v>25</v>
      </c>
      <c r="C104" s="1" t="n">
        <v>4154</v>
      </c>
      <c r="D104" s="1" t="n">
        <v>28</v>
      </c>
      <c r="E104" s="1" t="n">
        <v>44.7</v>
      </c>
      <c r="F104" s="1" t="n">
        <v>43.9</v>
      </c>
      <c r="G104" s="4" t="n">
        <v>9.25925925925926E-005</v>
      </c>
      <c r="H104" s="4" t="n">
        <v>0</v>
      </c>
      <c r="I104" s="4" t="n">
        <v>0</v>
      </c>
      <c r="J104" s="1" t="n">
        <v>0</v>
      </c>
      <c r="K104" s="1" t="s">
        <v>113</v>
      </c>
      <c r="L104" s="1" t="n">
        <v>866</v>
      </c>
      <c r="M104" s="1" t="n">
        <v>1</v>
      </c>
      <c r="N104" s="1" t="n">
        <v>6873</v>
      </c>
      <c r="O104" s="4" t="n">
        <v>0.000104166666666667</v>
      </c>
      <c r="P104" s="2" t="n">
        <f aca="false">MINUTE(O104)*60+SECOND(O104)</f>
        <v>9</v>
      </c>
      <c r="Q104" s="2" t="n">
        <f aca="false">MINUTE(G104)*60+SECOND(G104)</f>
        <v>8</v>
      </c>
      <c r="R104" s="1" t="n">
        <f aca="false">M104*(N104+C104)*(P104-Q104)/3600</f>
        <v>3.06305555555556</v>
      </c>
    </row>
    <row r="105" customFormat="false" ht="12" hidden="false" customHeight="false" outlineLevel="0" collapsed="false">
      <c r="A105" s="1" t="s">
        <v>71</v>
      </c>
      <c r="B105" s="1" t="s">
        <v>114</v>
      </c>
      <c r="C105" s="1" t="n">
        <v>4154</v>
      </c>
      <c r="E105" s="1" t="n">
        <v>44.7</v>
      </c>
      <c r="F105" s="1" t="n">
        <v>43.9</v>
      </c>
      <c r="G105" s="4" t="n">
        <v>9.25925925925926E-005</v>
      </c>
      <c r="H105" s="4" t="n">
        <v>0</v>
      </c>
      <c r="I105" s="4" t="n">
        <v>0</v>
      </c>
      <c r="J105" s="1" t="n">
        <v>0</v>
      </c>
      <c r="K105" s="1" t="s">
        <v>113</v>
      </c>
      <c r="L105" s="1" t="n">
        <v>866</v>
      </c>
      <c r="M105" s="1" t="n">
        <v>0</v>
      </c>
      <c r="N105" s="1" t="n">
        <v>6873</v>
      </c>
      <c r="O105" s="4" t="n">
        <v>0.000104166666666667</v>
      </c>
      <c r="P105" s="2" t="n">
        <f aca="false">MINUTE(O105)*60+SECOND(O105)</f>
        <v>9</v>
      </c>
      <c r="Q105" s="2" t="n">
        <f aca="false">MINUTE(G105)*60+SECOND(G105)</f>
        <v>8</v>
      </c>
      <c r="R105" s="1" t="n">
        <f aca="false">M105*(N105+C105)*(P105-Q105)/3600</f>
        <v>0</v>
      </c>
    </row>
    <row r="107" customFormat="false" ht="15" hidden="false" customHeight="false" outlineLevel="0" collapsed="false">
      <c r="R107" s="5" t="n">
        <f aca="false">SUM(R23:R105)</f>
        <v>-1103.71027777778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2000-12-24T09:00:38Z</dcterms:created>
  <dc:creator>satya</dc:creator>
  <dc:description/>
  <dc:language>en-AU</dc:language>
  <cp:lastModifiedBy>Sesh</cp:lastModifiedBy>
  <cp:revision>0</cp:revision>
  <dc:subject/>
  <dc:title/>
</cp:coreProperties>
</file>