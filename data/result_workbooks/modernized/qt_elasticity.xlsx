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ER-Elasticity" sheetId="1" state="visible" r:id="rId3"/>
    <sheet name="Sheet3" sheetId="2" state="visible" r:id="rId4"/>
    <sheet name="Sheet1" sheetId="3" state="visible" r:id="rId5"/>
    <sheet name="1lane" sheetId="4" state="visible" r:id="rId6"/>
    <sheet name="2lane" sheetId="5" state="visible" r:id="rId7"/>
    <sheet name="results_nometering" sheetId="6" state="visible" r:id="rId8"/>
    <sheet name="NOMETER-Elasticity" sheetId="7" state="visible" r:id="rId9"/>
    <sheet name="standard" sheetId="8" state="visible" r:id="rId10"/>
  </sheets>
  <definedNames>
    <definedName function="false" hidden="false" localSheetId="0" name="_xlnm.Print_Area" vbProcedure="false">'METER-Elasticity'!$B$2:$S$35</definedName>
    <definedName function="false" hidden="false" localSheetId="6" name="_xlnm.Print_Area" vbProcedure="false">'NOMETER-Elasticity'!$A$4:$S$38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<sst xmlns="http://schemas.openxmlformats.org/spreadsheetml/2006/main" count="733" uniqueCount="232">
  <si>
    <t xml:space="preserve">Table 2: Elasticity of flow w.r.t travel time with ramp metering</t>
  </si>
  <si>
    <t xml:space="preserve">1 Lane Blockage</t>
  </si>
  <si>
    <t xml:space="preserve">Duration</t>
  </si>
  <si>
    <t xml:space="preserve">Q1</t>
  </si>
  <si>
    <t xml:space="preserve">t1</t>
  </si>
  <si>
    <t xml:space="preserve">e1%</t>
  </si>
  <si>
    <t xml:space="preserve">Q2</t>
  </si>
  <si>
    <t xml:space="preserve">t2</t>
  </si>
  <si>
    <t xml:space="preserve">e2%</t>
  </si>
  <si>
    <t xml:space="preserve">Q3</t>
  </si>
  <si>
    <t xml:space="preserve">t3</t>
  </si>
  <si>
    <t xml:space="preserve">e3%</t>
  </si>
  <si>
    <t xml:space="preserve">Q4</t>
  </si>
  <si>
    <t xml:space="preserve">t4</t>
  </si>
  <si>
    <t xml:space="preserve">e4%</t>
  </si>
  <si>
    <t xml:space="preserve">Q5</t>
  </si>
  <si>
    <t xml:space="preserve">t5</t>
  </si>
  <si>
    <t xml:space="preserve">e5%</t>
  </si>
  <si>
    <t xml:space="preserve">Average</t>
  </si>
  <si>
    <t xml:space="preserve">2 Lane Blockage</t>
  </si>
  <si>
    <t xml:space="preserve">where,</t>
  </si>
  <si>
    <t xml:space="preserve">1,2,3,4,5 denote the number of OD pairs in the network</t>
  </si>
  <si>
    <t xml:space="preserve">Q denotes vehicles/hour for a OD pair</t>
  </si>
  <si>
    <t xml:space="preserve">t  denotes travel time in seconds to travel between an orign destination pair</t>
  </si>
  <si>
    <t xml:space="preserve">e denotes the elasticity of flow w.r.t travel time</t>
  </si>
  <si>
    <t xml:space="preserve">The average value for each case is determined</t>
  </si>
  <si>
    <t xml:space="preserve">Elasticity = (Q(z+1)-Q(z))/(Q(z))/((t(z+1)-t(z)/t(z))</t>
  </si>
  <si>
    <t xml:space="preserve">where z, is the incident duration and z+1 denotes the next incident duration in minutes</t>
  </si>
  <si>
    <t xml:space="preserve">FSP</t>
  </si>
  <si>
    <t xml:space="preserve">CMS</t>
  </si>
  <si>
    <t xml:space="preserve">Metering</t>
  </si>
  <si>
    <t xml:space="preserve">MOE</t>
  </si>
  <si>
    <t xml:space="preserve">1lane</t>
  </si>
  <si>
    <t xml:space="preserve">Cases</t>
  </si>
  <si>
    <t xml:space="preserve">TABLE 4: Inter-technology Matrix (CMS,FSP,Ramp Metering) For One and Two Lane Blockage</t>
  </si>
  <si>
    <t xml:space="preserve">         TABLE 3: Intertechnology Economy Matrix </t>
  </si>
  <si>
    <t xml:space="preserve">Blockage</t>
  </si>
  <si>
    <t xml:space="preserve">With Ramp Metering</t>
  </si>
  <si>
    <t xml:space="preserve">Result</t>
  </si>
  <si>
    <t xml:space="preserve">                        With No Ramp Metering</t>
  </si>
  <si>
    <t xml:space="preserve">     (CMS,FSP, Ramp Metering) for 1 Lane Blockage</t>
  </si>
  <si>
    <t xml:space="preserve">Benefits (FSP,0)</t>
  </si>
  <si>
    <t xml:space="preserve">Benefits (0,CMS)</t>
  </si>
  <si>
    <t xml:space="preserve">Benefits (FSP,CMS)</t>
  </si>
  <si>
    <t xml:space="preserve">Without CMS</t>
  </si>
  <si>
    <t xml:space="preserve">With CMS</t>
  </si>
  <si>
    <t xml:space="preserve">Savings</t>
  </si>
  <si>
    <t xml:space="preserve">2lane</t>
  </si>
  <si>
    <t xml:space="preserve">1 Lane</t>
  </si>
  <si>
    <t xml:space="preserve">Sub-additive</t>
  </si>
  <si>
    <t xml:space="preserve">Without FSP</t>
  </si>
  <si>
    <t xml:space="preserve">With FSP</t>
  </si>
  <si>
    <t xml:space="preserve">2 Lane</t>
  </si>
  <si>
    <t xml:space="preserve">212+265=277</t>
  </si>
  <si>
    <t xml:space="preserve">          &gt;</t>
  </si>
  <si>
    <t xml:space="preserve">TABLE 5: Inter-technology Matrix (FSP,RM) and (CMS,RM) For One and Two Lane Blockage</t>
  </si>
  <si>
    <t xml:space="preserve">    TABLE 7: Inter-technology Matrix (FSP+CMS,RM) For One and Two Lane Blockage</t>
  </si>
  <si>
    <t xml:space="preserve">Benefits (0,RM)</t>
  </si>
  <si>
    <t xml:space="preserve">Benefits (FSP,RM)</t>
  </si>
  <si>
    <t xml:space="preserve">Benefits (CMS,0)</t>
  </si>
  <si>
    <t xml:space="preserve">Benefits (CMS,RM)</t>
  </si>
  <si>
    <t xml:space="preserve">Results</t>
  </si>
  <si>
    <t xml:space="preserve">Benefits (FSP+CMS,0)</t>
  </si>
  <si>
    <t xml:space="preserve">Benefits (FSP+CMS,RM)</t>
  </si>
  <si>
    <t xml:space="preserve">                       TABLE 2: CS Summary Results From Simulation Runs                                     </t>
  </si>
  <si>
    <t xml:space="preserve">Change in CS for 1 Lane Blockage</t>
  </si>
  <si>
    <t xml:space="preserve">Change in CS for 2 Lane Blockage</t>
  </si>
  <si>
    <t xml:space="preserve">Super-additive</t>
  </si>
  <si>
    <t xml:space="preserve">With Metering</t>
  </si>
  <si>
    <t xml:space="preserve">Without Metering</t>
  </si>
  <si>
    <t xml:space="preserve">No FSP, No CMS</t>
  </si>
  <si>
    <t xml:space="preserve">FSP, No CMS</t>
  </si>
  <si>
    <t xml:space="preserve">No FSP, CMS</t>
  </si>
  <si>
    <t xml:space="preserve">FSP, CMS</t>
  </si>
  <si>
    <t xml:space="preserve">                       TABLE 2: CS Summary Results From Simulation Runs</t>
  </si>
  <si>
    <t xml:space="preserve">  Change in CS for 1 Lane Blockage</t>
  </si>
  <si>
    <t xml:space="preserve">  Change in CS for 2 Lane Blockage</t>
  </si>
  <si>
    <t xml:space="preserve">     TABLE 5: Inter-technology Matrix (FSP,RM) For One and Two Lane Blockage</t>
  </si>
  <si>
    <t xml:space="preserve">     TABLE 6: Inter-technology Matrix (FSP,RM) For One and Two Lane Blockage</t>
  </si>
  <si>
    <t xml:space="preserve">1 Lane Blockage: 10-20 interval</t>
  </si>
  <si>
    <t xml:space="preserve">1 Lane Blockage: 10-30 interval</t>
  </si>
  <si>
    <t xml:space="preserve">1 Lane Blockage: 20-30 interval</t>
  </si>
  <si>
    <t xml:space="preserve">1 Lane Blockage: 20-40 interval</t>
  </si>
  <si>
    <t xml:space="preserve">1 Lane Blockage: 30-40 interval</t>
  </si>
  <si>
    <t xml:space="preserve">1 Lane Blockage: 30-50 interval</t>
  </si>
  <si>
    <t xml:space="preserve">1 Lane Blockage: 40-50 interval</t>
  </si>
  <si>
    <t xml:space="preserve">1 Lane Blockage: 40-60 interval</t>
  </si>
  <si>
    <t xml:space="preserve">1 Lane Blockage: 50-60 interval</t>
  </si>
  <si>
    <t xml:space="preserve">2 Lane Blockage: 10-20 interval</t>
  </si>
  <si>
    <t xml:space="preserve">2 Lane Blockage: 10-30 interval</t>
  </si>
  <si>
    <t xml:space="preserve">2 Lane Blockage: 20-30 interval</t>
  </si>
  <si>
    <t xml:space="preserve">2 Lane Blockage: 20-40 interval</t>
  </si>
  <si>
    <t xml:space="preserve">2 Lane Blockage: 30-40 interval</t>
  </si>
  <si>
    <t xml:space="preserve">2 Lane Blockage: 30-50 interval</t>
  </si>
  <si>
    <t xml:space="preserve">2 Lane Blockage: 40-50 interval</t>
  </si>
  <si>
    <t xml:space="preserve">2 Lane Blockage: 40-60 interval</t>
  </si>
  <si>
    <t xml:space="preserve">2 Lane Blockage: 50-60 interval</t>
  </si>
  <si>
    <t xml:space="preserve">duration</t>
  </si>
  <si>
    <t xml:space="preserve">10-90%</t>
  </si>
  <si>
    <t xml:space="preserve">50-50%</t>
  </si>
  <si>
    <t xml:space="preserve">20-80%</t>
  </si>
  <si>
    <t xml:space="preserve">10-20 interval</t>
  </si>
  <si>
    <t xml:space="preserve">diff</t>
  </si>
  <si>
    <t xml:space="preserve">Y</t>
  </si>
  <si>
    <t xml:space="preserve">N</t>
  </si>
  <si>
    <t xml:space="preserve">       &gt;</t>
  </si>
  <si>
    <t xml:space="preserve">20-30 interval</t>
  </si>
  <si>
    <t xml:space="preserve">       &lt;</t>
  </si>
  <si>
    <t xml:space="preserve">30-40 interval</t>
  </si>
  <si>
    <t xml:space="preserve">       &gt; </t>
  </si>
  <si>
    <t xml:space="preserve">40-50 interval</t>
  </si>
  <si>
    <t xml:space="preserve">50-60 interval</t>
  </si>
  <si>
    <t xml:space="preserve">      &lt;</t>
  </si>
  <si>
    <t xml:space="preserve">      &gt;</t>
  </si>
  <si>
    <t xml:space="preserve">10-30 interval</t>
  </si>
  <si>
    <t xml:space="preserve">20-40 interval</t>
  </si>
  <si>
    <t xml:space="preserve">       &lt; </t>
  </si>
  <si>
    <t xml:space="preserve">30-50 interval</t>
  </si>
  <si>
    <t xml:space="preserve">40-60 interval</t>
  </si>
  <si>
    <t xml:space="preserve">Table 1: Elasticity of flow w.r.t travel time with no-ramp metering</t>
  </si>
  <si>
    <t xml:space="preserve">e1(%)</t>
  </si>
  <si>
    <t xml:space="preserve">Duration(z)</t>
  </si>
  <si>
    <t xml:space="preserve">System</t>
  </si>
  <si>
    <t xml:space="preserve">Global S</t>
  </si>
  <si>
    <t xml:space="preserve">tatistics</t>
  </si>
  <si>
    <t xml:space="preserve">Ti</t>
  </si>
  <si>
    <t xml:space="preserve">me : 02:0</t>
  </si>
  <si>
    <t xml:space="preserve">FLOW</t>
  </si>
  <si>
    <t xml:space="preserve">DENSTY</t>
  </si>
  <si>
    <t xml:space="preserve">SPEED</t>
  </si>
  <si>
    <t xml:space="preserve">H.SPEE</t>
  </si>
  <si>
    <t xml:space="preserve">D  TRAVEL T.</t>
  </si>
  <si>
    <t xml:space="preserve">DELAY T.</t>
  </si>
  <si>
    <t xml:space="preserve">STOP T.</t>
  </si>
  <si>
    <t xml:space="preserve">STOPS</t>
  </si>
  <si>
    <t xml:space="preserve">TRAVEL</t>
  </si>
  <si>
    <t xml:space="preserve">Veh/h</t>
  </si>
  <si>
    <t xml:space="preserve">veh/M</t>
  </si>
  <si>
    <t xml:space="preserve">Mph</t>
  </si>
  <si>
    <t xml:space="preserve">h:mm:ss</t>
  </si>
  <si>
    <t xml:space="preserve">#/Veh</t>
  </si>
  <si>
    <t xml:space="preserve">Mi</t>
  </si>
  <si>
    <t xml:space="preserve">-----</t>
  </si>
  <si>
    <t xml:space="preserve">------</t>
  </si>
  <si>
    <t xml:space="preserve">-------</t>
  </si>
  <si>
    <t xml:space="preserve">+</t>
  </si>
  <si>
    <t xml:space="preserve">All Sec</t>
  </si>
  <si>
    <t xml:space="preserve">tions</t>
  </si>
  <si>
    <t xml:space="preserve">Global</t>
  </si>
  <si>
    <t xml:space="preserve">Statisti</t>
  </si>
  <si>
    <t xml:space="preserve">cs of Sectio</t>
  </si>
  <si>
    <t xml:space="preserve">n and Turn</t>
  </si>
  <si>
    <t xml:space="preserve">ings</t>
  </si>
  <si>
    <t xml:space="preserve">T</t>
  </si>
  <si>
    <t xml:space="preserve">ime : 02:</t>
  </si>
  <si>
    <t xml:space="preserve">H.SPEED</t>
  </si>
  <si>
    <t xml:space="preserve">TRAVEL T.</t>
  </si>
  <si>
    <t xml:space="preserve">QUEUE LENGHT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</si>
  <si>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</si>
  <si>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</si>
  <si>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</si>
  <si>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</si>
  <si>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</si>
  <si>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Mean / Max</t>
  </si>
  <si>
    <t xml:space="preserve">------------</t>
  </si>
  <si>
    <t xml:space="preserve">*</t>
  </si>
  <si>
    <t xml:space="preserve">SECTION    1</t>
  </si>
  <si>
    <t xml:space="preserve">36.4 / 80.7</t>
  </si>
  <si>
    <t xml:space="preserve">-</t>
  </si>
  <si>
    <t xml:space="preserve">TO    4</t>
  </si>
  <si>
    <t xml:space="preserve">22.7 / 60.3</t>
  </si>
  <si>
    <t xml:space="preserve">TO    3</t>
  </si>
  <si>
    <t xml:space="preserve">32.0 / 60.8</t>
  </si>
  <si>
    <t xml:space="preserve">SECTION    2</t>
  </si>
  <si>
    <t xml:space="preserve">89.8 /188.3</t>
  </si>
  <si>
    <t xml:space="preserve">TO    1</t>
  </si>
  <si>
    <t xml:space="preserve">SECTION    3</t>
  </si>
  <si>
    <t xml:space="preserve">5.9 / 10.0</t>
  </si>
  <si>
    <t xml:space="preserve">TO    5</t>
  </si>
  <si>
    <t xml:space="preserve">SECTION    4</t>
  </si>
  <si>
    <t xml:space="preserve">1.4 /  7.5</t>
  </si>
  <si>
    <t xml:space="preserve">TO    6</t>
  </si>
  <si>
    <t xml:space="preserve">SECTION    5</t>
  </si>
  <si>
    <t xml:space="preserve">5.8 /  9.0</t>
  </si>
  <si>
    <t xml:space="preserve">TO    7</t>
  </si>
  <si>
    <t xml:space="preserve">SECTION    6</t>
  </si>
  <si>
    <t xml:space="preserve">1.9 /  7.0</t>
  </si>
  <si>
    <t xml:space="preserve">TO    8</t>
  </si>
  <si>
    <t xml:space="preserve">SECTION    7</t>
  </si>
  <si>
    <t xml:space="preserve">6.4 / 10.0</t>
  </si>
  <si>
    <t xml:space="preserve">TO   12</t>
  </si>
  <si>
    <t xml:space="preserve">SECTION    8</t>
  </si>
  <si>
    <t xml:space="preserve">2.1 /  8.0</t>
  </si>
  <si>
    <t xml:space="preserve">TO   10</t>
  </si>
  <si>
    <t xml:space="preserve">SECTION    9</t>
  </si>
  <si>
    <t xml:space="preserve">49.1 / 86.0</t>
  </si>
  <si>
    <t xml:space="preserve">SECTION   10</t>
  </si>
  <si>
    <t xml:space="preserve">7.4 / 29.7</t>
  </si>
  <si>
    <t xml:space="preserve">TO   17</t>
  </si>
  <si>
    <t xml:space="preserve">8.4 / 35.5</t>
  </si>
  <si>
    <t xml:space="preserve">SECTION   11</t>
  </si>
  <si>
    <t xml:space="preserve">155.2 /310.0</t>
  </si>
  <si>
    <t xml:space="preserve">SECTION   12</t>
  </si>
  <si>
    <t xml:space="preserve">27.5 / 48.7</t>
  </si>
  <si>
    <t xml:space="preserve">TO   13</t>
  </si>
  <si>
    <t xml:space="preserve">35.5 / 64.0</t>
  </si>
  <si>
    <t xml:space="preserve">SECTION   13</t>
  </si>
  <si>
    <t xml:space="preserve">9.9 / 18.7</t>
  </si>
  <si>
    <t xml:space="preserve">TO   18</t>
  </si>
  <si>
    <t xml:space="preserve">10.7 / 19.0</t>
  </si>
  <si>
    <t xml:space="preserve">SECTION   15</t>
  </si>
  <si>
    <t xml:space="preserve">174.6 /375.0</t>
  </si>
  <si>
    <t xml:space="preserve">SECTION   16</t>
  </si>
  <si>
    <t xml:space="preserve">0.8 /  8.0</t>
  </si>
  <si>
    <t xml:space="preserve">SECTION   17</t>
  </si>
  <si>
    <t xml:space="preserve">2.5 / 21.0</t>
  </si>
  <si>
    <t xml:space="preserve">TO   19</t>
  </si>
  <si>
    <t xml:space="preserve">3.2 / 22.0</t>
  </si>
  <si>
    <t xml:space="preserve">SECTION   18</t>
  </si>
  <si>
    <t xml:space="preserve">0.7 /  8.5</t>
  </si>
  <si>
    <t xml:space="preserve">TO   20</t>
  </si>
  <si>
    <t xml:space="preserve">SECTION   19</t>
  </si>
  <si>
    <t xml:space="preserve">2.2 / 10.5</t>
  </si>
  <si>
    <t xml:space="preserve">TO   21</t>
  </si>
  <si>
    <t xml:space="preserve">SECTION   20</t>
  </si>
  <si>
    <t xml:space="preserve">1.1 /  9.5</t>
  </si>
  <si>
    <t xml:space="preserve">TO   22</t>
  </si>
  <si>
    <t xml:space="preserve">SECTION   21</t>
  </si>
  <si>
    <t xml:space="preserve">4.2 / 14.0</t>
  </si>
  <si>
    <t xml:space="preserve">SECTION   22</t>
  </si>
  <si>
    <t xml:space="preserve">2.5 /  8.3</t>
  </si>
  <si>
    <t xml:space="preserve">TO EXIT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</si>
</sst>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[$-C09]d\-mmm"/>
    <numFmt numFmtId="167" formatCode="0.000"/>
    <numFmt numFmtId="168" formatCode="[$-C09]h:mm"/>
    <numFmt numFmtId="169" formatCode="[$-C09]h:mm:ss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</font>
    <font>
      <sz val="12"/>
      <name val="Arial"/>
      <family val="0"/>
    </font>
    <font>
      <b val="true"/>
      <sz val="12"/>
      <name val="Times New Roman"/>
      <family val="0"/>
    </font>
    <font>
      <sz val="12"/>
      <name val="Times New Roman"/>
      <family val="0"/>
    </font>
    <font>
      <b val="true"/>
      <sz val="12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R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cols>
    <col collapsed="false" customWidth="true" hidden="false" outlineLevel="0" max="4" min="4" style="0" width="7.5"/>
    <col collapsed="false" customWidth="true" hidden="false" outlineLevel="0" max="5" min="5" style="0" width="5.15"/>
    <col collapsed="false" customWidth="true" hidden="false" outlineLevel="0" max="7" min="6" style="0" width="6.66"/>
    <col collapsed="false" customWidth="true" hidden="false" outlineLevel="0" max="8" min="8" style="0" width="5.15"/>
    <col collapsed="false" customWidth="true" hidden="false" outlineLevel="0" max="9" min="9" style="0" width="5.66"/>
    <col collapsed="false" customWidth="true" hidden="false" outlineLevel="0" max="10" min="10" style="0" width="6.5"/>
    <col collapsed="false" customWidth="true" hidden="false" outlineLevel="0" max="11" min="11" style="0" width="5.5"/>
    <col collapsed="false" customWidth="true" hidden="false" outlineLevel="0" max="12" min="12" style="0" width="5.82"/>
    <col collapsed="false" customWidth="true" hidden="false" outlineLevel="0" max="13" min="13" style="0" width="6.15"/>
    <col collapsed="false" customWidth="true" hidden="false" outlineLevel="0" max="14" min="14" style="0" width="4.49"/>
    <col collapsed="false" customWidth="true" hidden="false" outlineLevel="0" max="15" min="15" style="0" width="5.5"/>
    <col collapsed="false" customWidth="true" hidden="false" outlineLevel="0" max="16" min="16" style="0" width="6.5"/>
    <col collapsed="false" customWidth="true" hidden="false" outlineLevel="0" max="17" min="17" style="0" width="4.66"/>
    <col collapsed="false" customWidth="true" hidden="false" outlineLevel="0" max="18" min="18" style="0" width="6.99"/>
  </cols>
  <sheetData>
    <row r="3" customFormat="false" ht="12" hidden="false" customHeight="false" outlineLevel="0" collapsed="false">
      <c r="F3" s="1" t="s">
        <v>0</v>
      </c>
    </row>
    <row r="4" customFormat="false" ht="12" hidden="false" customHeight="false" outlineLevel="0" collapsed="false">
      <c r="F4" s="1"/>
    </row>
    <row r="5" customFormat="false" ht="12" hidden="false" customHeight="false" outlineLevel="0" collapsed="false">
      <c r="H5" s="1" t="s">
        <v>1</v>
      </c>
    </row>
    <row r="6" customFormat="false" ht="13" hidden="false" customHeight="false" outlineLevel="0" collapsed="false">
      <c r="G6" s="1"/>
    </row>
    <row r="7" customFormat="false" ht="12" hidden="false" customHeight="false" outlineLevel="0" collapsed="false">
      <c r="C7" s="2" t="s">
        <v>2</v>
      </c>
      <c r="D7" s="3" t="s">
        <v>3</v>
      </c>
      <c r="E7" s="4" t="s">
        <v>4</v>
      </c>
      <c r="F7" s="5" t="s">
        <v>5</v>
      </c>
      <c r="G7" s="3" t="s">
        <v>6</v>
      </c>
      <c r="H7" s="4" t="s">
        <v>7</v>
      </c>
      <c r="I7" s="5" t="s">
        <v>8</v>
      </c>
      <c r="J7" s="3" t="s">
        <v>9</v>
      </c>
      <c r="K7" s="4" t="s">
        <v>10</v>
      </c>
      <c r="L7" s="5" t="s">
        <v>11</v>
      </c>
      <c r="M7" s="4" t="s">
        <v>12</v>
      </c>
      <c r="N7" s="4" t="s">
        <v>13</v>
      </c>
      <c r="O7" s="4" t="s">
        <v>14</v>
      </c>
      <c r="P7" s="3" t="s">
        <v>15</v>
      </c>
      <c r="Q7" s="4" t="s">
        <v>16</v>
      </c>
      <c r="R7" s="5" t="s">
        <v>17</v>
      </c>
    </row>
    <row r="8" customFormat="false" ht="12" hidden="false" customHeight="false" outlineLevel="0" collapsed="false">
      <c r="C8" s="6" t="n">
        <v>10</v>
      </c>
      <c r="D8" s="7" t="n">
        <v>35259</v>
      </c>
      <c r="E8" s="8" t="n">
        <v>542</v>
      </c>
      <c r="F8" s="9" t="n">
        <f aca="false">((D9-D8)/D8)/((E9-E8)/E8)</f>
        <v>-0.835675739785329</v>
      </c>
      <c r="G8" s="7" t="n">
        <v>20267</v>
      </c>
      <c r="H8" s="8" t="n">
        <v>604</v>
      </c>
      <c r="I8" s="9" t="n">
        <f aca="false">((G9-G8)/G8)/((H9-H8)/H8)</f>
        <v>-0.0641455615156706</v>
      </c>
      <c r="J8" s="7" t="n">
        <v>17458</v>
      </c>
      <c r="K8" s="8" t="n">
        <v>632</v>
      </c>
      <c r="L8" s="9" t="n">
        <f aca="false">((J9-J8)/J8)/((K9-K8)/K8)</f>
        <v>-0.0559598215652134</v>
      </c>
      <c r="M8" s="8" t="n">
        <v>20358</v>
      </c>
      <c r="N8" s="8" t="n">
        <v>652</v>
      </c>
      <c r="O8" s="8" t="n">
        <f aca="false">((M9-M8)/M8)/((N9-N8)/N8)</f>
        <v>0.288240495137047</v>
      </c>
      <c r="P8" s="7" t="n">
        <v>17562</v>
      </c>
      <c r="Q8" s="8" t="n">
        <v>588</v>
      </c>
      <c r="R8" s="9" t="n">
        <f aca="false">((P9-P8)/P8)/((Q9-Q8)/Q8)</f>
        <v>1.11046577838515</v>
      </c>
    </row>
    <row r="9" customFormat="false" ht="12" hidden="false" customHeight="false" outlineLevel="0" collapsed="false">
      <c r="C9" s="6" t="n">
        <v>20</v>
      </c>
      <c r="D9" s="10" t="n">
        <v>34661</v>
      </c>
      <c r="E9" s="11" t="n">
        <v>553</v>
      </c>
      <c r="F9" s="9" t="n">
        <f aca="false">((D10-D9)/D9)/((E10-E9)/E9)</f>
        <v>-1.11043535962609</v>
      </c>
      <c r="G9" s="10" t="n">
        <v>19815</v>
      </c>
      <c r="H9" s="11" t="n">
        <v>814</v>
      </c>
      <c r="I9" s="9" t="n">
        <f aca="false">((G10-G9)/G9)/((H10-H9)/H9)</f>
        <v>-0.0663441836992178</v>
      </c>
      <c r="J9" s="10" t="n">
        <v>17053</v>
      </c>
      <c r="K9" s="11" t="n">
        <v>894</v>
      </c>
      <c r="L9" s="9" t="n">
        <f aca="false">((J10-J9)/J9)/((K10-K9)/K9)</f>
        <v>-0.0649982193248309</v>
      </c>
      <c r="M9" s="11" t="n">
        <v>20133</v>
      </c>
      <c r="N9" s="11" t="n">
        <v>627</v>
      </c>
      <c r="O9" s="8" t="n">
        <f aca="false">((M10-M9)/M9)/((N10-N9)/N9)</f>
        <v>6.41543734167784</v>
      </c>
      <c r="P9" s="10" t="n">
        <v>17363</v>
      </c>
      <c r="Q9" s="11" t="n">
        <v>582</v>
      </c>
      <c r="R9" s="9" t="n">
        <f aca="false">((P10-P9)/P9)/((Q10-Q9)/Q9)</f>
        <v>1.47486033519553</v>
      </c>
    </row>
    <row r="10" customFormat="false" ht="12" hidden="false" customHeight="false" outlineLevel="0" collapsed="false">
      <c r="C10" s="6" t="n">
        <v>30</v>
      </c>
      <c r="D10" s="7" t="n">
        <v>34313</v>
      </c>
      <c r="E10" s="8" t="n">
        <v>558</v>
      </c>
      <c r="F10" s="9" t="n">
        <f aca="false">((D11-D10)/D10)/((E11-E10)/E10)</f>
        <v>-0.546692130062178</v>
      </c>
      <c r="G10" s="7" t="n">
        <v>19492</v>
      </c>
      <c r="H10" s="8" t="n">
        <v>1014</v>
      </c>
      <c r="I10" s="9" t="n">
        <f aca="false">((G11-G10)/G10)/((H11-H10)/H10)</f>
        <v>-0.359945649808158</v>
      </c>
      <c r="J10" s="7" t="n">
        <v>16748</v>
      </c>
      <c r="K10" s="8" t="n">
        <v>1140</v>
      </c>
      <c r="L10" s="9" t="n">
        <f aca="false">((J11-J10)/J10)/((K11-K10)/K10)</f>
        <v>-0.290007299589272</v>
      </c>
      <c r="M10" s="8" t="n">
        <v>19927</v>
      </c>
      <c r="N10" s="8" t="n">
        <v>626</v>
      </c>
      <c r="O10" s="8" t="n">
        <f aca="false">((M11-M10)/M10)/((N11-N10)/N10)</f>
        <v>0.88927662892635</v>
      </c>
      <c r="P10" s="7" t="n">
        <v>17187</v>
      </c>
      <c r="Q10" s="8" t="n">
        <v>578</v>
      </c>
      <c r="R10" s="9" t="n">
        <f aca="false">((P11-P10)/P10)/((Q11-Q10)/Q10)</f>
        <v>3.59841740850643</v>
      </c>
    </row>
    <row r="11" customFormat="false" ht="12" hidden="false" customHeight="false" outlineLevel="0" collapsed="false">
      <c r="C11" s="6" t="n">
        <v>40</v>
      </c>
      <c r="D11" s="7" t="n">
        <v>33170</v>
      </c>
      <c r="E11" s="8" t="n">
        <v>592</v>
      </c>
      <c r="F11" s="9" t="n">
        <f aca="false">((D12-D11)/D11)/((E12-E11)/E11)</f>
        <v>-0.759111647070646</v>
      </c>
      <c r="G11" s="7" t="n">
        <v>18807</v>
      </c>
      <c r="H11" s="8" t="n">
        <v>1113</v>
      </c>
      <c r="I11" s="9" t="n">
        <f aca="false">((G12-G11)/G11)/((H12-H11)/H11)</f>
        <v>-0.329717658318711</v>
      </c>
      <c r="J11" s="7" t="n">
        <v>16143</v>
      </c>
      <c r="K11" s="8" t="n">
        <v>1282</v>
      </c>
      <c r="L11" s="9" t="n">
        <f aca="false">((J12-J11)/J11)/((K12-K11)/K11)</f>
        <v>-0.209367415091258</v>
      </c>
      <c r="M11" s="8" t="n">
        <v>19559</v>
      </c>
      <c r="N11" s="8" t="n">
        <v>613</v>
      </c>
      <c r="O11" s="8" t="n">
        <f aca="false">((M12-M11)/M11)/((N12-N11)/N11)</f>
        <v>0.765617581968111</v>
      </c>
      <c r="P11" s="7" t="n">
        <v>16866</v>
      </c>
      <c r="Q11" s="8" t="n">
        <v>575</v>
      </c>
      <c r="R11" s="9" t="n">
        <f aca="false">((P12-P11)/P11)/((Q12-Q11)/Q11)</f>
        <v>1.79552551484248</v>
      </c>
    </row>
    <row r="12" customFormat="false" ht="12" hidden="false" customHeight="false" outlineLevel="0" collapsed="false">
      <c r="C12" s="6" t="n">
        <v>50</v>
      </c>
      <c r="D12" s="7" t="n">
        <v>32532</v>
      </c>
      <c r="E12" s="8" t="n">
        <v>607</v>
      </c>
      <c r="F12" s="9" t="n">
        <f aca="false">((D13-D12)/D12)/((E13-E12)/E12)</f>
        <v>-0.539662722621041</v>
      </c>
      <c r="G12" s="7" t="n">
        <v>18300</v>
      </c>
      <c r="H12" s="8" t="n">
        <v>1204</v>
      </c>
      <c r="I12" s="9" t="n">
        <f aca="false">((G13-G12)/G12)/((H13-H12)/H12)</f>
        <v>-0.519590864508897</v>
      </c>
      <c r="J12" s="7" t="n">
        <v>15679</v>
      </c>
      <c r="K12" s="8" t="n">
        <v>1458</v>
      </c>
      <c r="L12" s="9" t="n">
        <f aca="false">((J13-J12)/J12)/((K13-K12)/K12)</f>
        <v>-0.587833589970206</v>
      </c>
      <c r="M12" s="8" t="n">
        <v>19388</v>
      </c>
      <c r="N12" s="8" t="n">
        <v>606</v>
      </c>
      <c r="O12" s="8" t="n">
        <f aca="false">((M13-M12)/M12)/((N13-N12)/N12)</f>
        <v>0.308099266114533</v>
      </c>
      <c r="P12" s="7" t="n">
        <v>16708</v>
      </c>
      <c r="Q12" s="8" t="n">
        <v>572</v>
      </c>
      <c r="R12" s="9" t="n">
        <f aca="false">((P13-P12)/P12)/((Q13-Q12)/Q12)</f>
        <v>0.825065836724922</v>
      </c>
    </row>
    <row r="13" customFormat="false" ht="13" hidden="false" customHeight="false" outlineLevel="0" collapsed="false">
      <c r="C13" s="12" t="n">
        <v>60</v>
      </c>
      <c r="D13" s="13" t="n">
        <v>31404</v>
      </c>
      <c r="E13" s="14" t="n">
        <v>646</v>
      </c>
      <c r="F13" s="15"/>
      <c r="G13" s="13" t="n">
        <v>17684</v>
      </c>
      <c r="H13" s="14" t="n">
        <v>1282</v>
      </c>
      <c r="I13" s="15"/>
      <c r="J13" s="13" t="n">
        <v>15148</v>
      </c>
      <c r="K13" s="14" t="n">
        <v>1542</v>
      </c>
      <c r="L13" s="15"/>
      <c r="M13" s="14" t="n">
        <v>19112</v>
      </c>
      <c r="N13" s="14" t="n">
        <v>578</v>
      </c>
      <c r="O13" s="14"/>
      <c r="P13" s="13" t="n">
        <v>16467</v>
      </c>
      <c r="Q13" s="14" t="n">
        <v>562</v>
      </c>
      <c r="R13" s="15"/>
    </row>
    <row r="14" customFormat="false" ht="13" hidden="false" customHeight="false" outlineLevel="0" collapsed="false">
      <c r="C14" s="12" t="s">
        <v>18</v>
      </c>
      <c r="D14" s="13"/>
      <c r="E14" s="14"/>
      <c r="F14" s="15" t="n">
        <f aca="false">AVERAGE(F8:F12)</f>
        <v>-0.758315519833057</v>
      </c>
      <c r="G14" s="14"/>
      <c r="H14" s="14"/>
      <c r="I14" s="14" t="n">
        <f aca="false">AVERAGE(I8:I12)</f>
        <v>-0.267948783570131</v>
      </c>
      <c r="J14" s="13"/>
      <c r="K14" s="14"/>
      <c r="L14" s="15" t="n">
        <f aca="false">AVERAGE(L8:L12)</f>
        <v>-0.241633269108156</v>
      </c>
      <c r="M14" s="14"/>
      <c r="N14" s="14"/>
      <c r="O14" s="14" t="n">
        <f aca="false">AVERAGE(O8:O12)</f>
        <v>1.73333426276478</v>
      </c>
      <c r="P14" s="13"/>
      <c r="Q14" s="14"/>
      <c r="R14" s="15" t="n">
        <f aca="false">AVERAGE(R8:R12)</f>
        <v>1.7608669747309</v>
      </c>
    </row>
    <row r="15" customFormat="false" ht="12" hidden="false" customHeight="false" outlineLevel="0" collapsed="false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2" hidden="false" customHeight="false" outlineLevel="0" collapsed="false">
      <c r="C16" s="8"/>
      <c r="D16" s="8"/>
      <c r="E16" s="8"/>
      <c r="F16" s="8"/>
      <c r="G16" s="8"/>
      <c r="H16" s="16" t="s">
        <v>19</v>
      </c>
      <c r="I16" s="8"/>
      <c r="J16" s="8"/>
      <c r="K16" s="8"/>
      <c r="L16" s="8"/>
      <c r="M16" s="8"/>
      <c r="N16" s="8"/>
      <c r="O16" s="8"/>
      <c r="P16" s="8"/>
      <c r="Q16" s="8"/>
      <c r="R16" s="8"/>
    </row>
    <row r="17" customFormat="false" ht="13" hidden="false" customHeight="false" outlineLevel="0" collapsed="false">
      <c r="C17" s="8"/>
      <c r="D17" s="8"/>
      <c r="E17" s="8"/>
      <c r="F17" s="8"/>
      <c r="G17" s="1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2" hidden="false" customHeight="false" outlineLevel="0" collapsed="false">
      <c r="C18" s="2" t="s">
        <v>2</v>
      </c>
      <c r="D18" s="3" t="s">
        <v>3</v>
      </c>
      <c r="E18" s="4" t="s">
        <v>4</v>
      </c>
      <c r="F18" s="5" t="s">
        <v>5</v>
      </c>
      <c r="G18" s="4" t="s">
        <v>6</v>
      </c>
      <c r="H18" s="4" t="s">
        <v>7</v>
      </c>
      <c r="I18" s="5" t="s">
        <v>8</v>
      </c>
      <c r="J18" s="3" t="s">
        <v>9</v>
      </c>
      <c r="K18" s="4" t="s">
        <v>10</v>
      </c>
      <c r="L18" s="5" t="s">
        <v>11</v>
      </c>
      <c r="M18" s="3" t="s">
        <v>12</v>
      </c>
      <c r="N18" s="4" t="s">
        <v>13</v>
      </c>
      <c r="O18" s="5" t="s">
        <v>14</v>
      </c>
      <c r="P18" s="3" t="s">
        <v>15</v>
      </c>
      <c r="Q18" s="4" t="s">
        <v>16</v>
      </c>
      <c r="R18" s="5" t="s">
        <v>17</v>
      </c>
    </row>
    <row r="19" customFormat="false" ht="12" hidden="false" customHeight="false" outlineLevel="0" collapsed="false">
      <c r="C19" s="6" t="n">
        <v>10</v>
      </c>
      <c r="D19" s="7" t="n">
        <v>34937</v>
      </c>
      <c r="E19" s="8" t="n">
        <v>553</v>
      </c>
      <c r="F19" s="9" t="n">
        <f aca="false">((D20-D19)/D19)/((E20-E19)/E19)</f>
        <v>-0.618818635448569</v>
      </c>
      <c r="G19" s="8" t="n">
        <v>20124</v>
      </c>
      <c r="H19" s="8" t="n">
        <v>731</v>
      </c>
      <c r="I19" s="9" t="n">
        <f aca="false">((G20-G19)/G20)/((H20-H19)/H19)</f>
        <v>-0.0643386204032553</v>
      </c>
      <c r="J19" s="7" t="n">
        <v>17397</v>
      </c>
      <c r="K19" s="8" t="n">
        <v>432</v>
      </c>
      <c r="L19" s="9" t="n">
        <f aca="false">((J20-J19)/J19)/((K20-K19)/K19)</f>
        <v>-0.106985896698271</v>
      </c>
      <c r="M19" s="7" t="n">
        <v>20176</v>
      </c>
      <c r="N19" s="8" t="n">
        <v>638</v>
      </c>
      <c r="O19" s="9" t="n">
        <f aca="false">((M20-M19)/M19)/((N20-N19)/N19)</f>
        <v>1.66014076130056</v>
      </c>
      <c r="P19" s="7" t="n">
        <v>17414</v>
      </c>
      <c r="Q19" s="8" t="n">
        <v>583</v>
      </c>
      <c r="R19" s="9" t="n">
        <f aca="false">((P20-P19)/P19)/((Q20-Q19)/Q19)</f>
        <v>3.98397840817733</v>
      </c>
    </row>
    <row r="20" customFormat="false" ht="12" hidden="false" customHeight="false" outlineLevel="0" collapsed="false">
      <c r="C20" s="6" t="n">
        <v>20</v>
      </c>
      <c r="D20" s="10" t="n">
        <v>34116</v>
      </c>
      <c r="E20" s="11" t="n">
        <v>574</v>
      </c>
      <c r="F20" s="9" t="n">
        <f aca="false">((D21-D20)/D20)/((E21-E20)/E20)</f>
        <v>-0.484786699813796</v>
      </c>
      <c r="G20" s="11" t="n">
        <v>19556</v>
      </c>
      <c r="H20" s="11" t="n">
        <v>1061</v>
      </c>
      <c r="I20" s="9" t="n">
        <f aca="false">((G21-G20)/G21)/((H21-H20)/H20)</f>
        <v>-0.25834260882667</v>
      </c>
      <c r="J20" s="10" t="n">
        <v>16936</v>
      </c>
      <c r="K20" s="11" t="n">
        <v>539</v>
      </c>
      <c r="L20" s="9" t="n">
        <f aca="false">((J21-J20)/J20)/((K21-K20)/K20)</f>
        <v>-0.307515794756731</v>
      </c>
      <c r="M20" s="10" t="n">
        <v>19756</v>
      </c>
      <c r="N20" s="11" t="n">
        <v>630</v>
      </c>
      <c r="O20" s="9" t="n">
        <f aca="false">((M21-M20)/M20)/((N21-N20)/N20)</f>
        <v>-25.8620166025511</v>
      </c>
      <c r="P20" s="10" t="n">
        <v>17057</v>
      </c>
      <c r="Q20" s="11" t="n">
        <v>580</v>
      </c>
      <c r="R20" s="9" t="n">
        <f aca="false">((P21-P20)/P20)/((Q21-Q20)/Q20)</f>
        <v>11.544234038811</v>
      </c>
    </row>
    <row r="21" customFormat="false" ht="12" hidden="false" customHeight="false" outlineLevel="0" collapsed="false">
      <c r="C21" s="6" t="n">
        <v>30</v>
      </c>
      <c r="D21" s="7" t="n">
        <v>32416</v>
      </c>
      <c r="E21" s="8" t="n">
        <v>633</v>
      </c>
      <c r="F21" s="9" t="n">
        <f aca="false">((D22-D21)/D21)/((E22-E21)/E21)</f>
        <v>-0.557245142416873</v>
      </c>
      <c r="G21" s="8" t="n">
        <v>18609</v>
      </c>
      <c r="H21" s="8" t="n">
        <v>1270</v>
      </c>
      <c r="I21" s="9" t="n">
        <f aca="false">((G22-G21)/G22)/((H22-H21)/H21)</f>
        <v>-0.293365725818751</v>
      </c>
      <c r="J21" s="7" t="n">
        <v>16163</v>
      </c>
      <c r="K21" s="8" t="n">
        <v>619</v>
      </c>
      <c r="L21" s="9" t="n">
        <f aca="false">((J22-J21)/J21)/((K22-K21)/K21)</f>
        <v>-0.357232618924218</v>
      </c>
      <c r="M21" s="7" t="n">
        <v>18945</v>
      </c>
      <c r="N21" s="8" t="n">
        <v>631</v>
      </c>
      <c r="O21" s="9" t="n">
        <f aca="false">((M22-M21)/M21)/((N22-N21)/N21)</f>
        <v>0.660587666050849</v>
      </c>
      <c r="P21" s="7" t="n">
        <v>16378</v>
      </c>
      <c r="Q21" s="8" t="n">
        <v>578</v>
      </c>
      <c r="R21" s="9" t="n">
        <f aca="false">((P22-P21)/P21)/((Q22-Q21)/Q21)</f>
        <v>1.41164977408719</v>
      </c>
    </row>
    <row r="22" customFormat="false" ht="12" hidden="false" customHeight="false" outlineLevel="0" collapsed="false">
      <c r="C22" s="6" t="n">
        <v>40</v>
      </c>
      <c r="D22" s="7" t="n">
        <v>31246</v>
      </c>
      <c r="E22" s="8" t="n">
        <v>674</v>
      </c>
      <c r="F22" s="9" t="n">
        <f aca="false">((D23-D22)/D22)/((E23-E22)/E22)</f>
        <v>-0.558486613559263</v>
      </c>
      <c r="G22" s="8" t="n">
        <v>17882</v>
      </c>
      <c r="H22" s="8" t="n">
        <v>1446</v>
      </c>
      <c r="I22" s="9" t="n">
        <f aca="false">((G23-G22)/G23)/((H23-H22)/H22)</f>
        <v>-0.390558393517703</v>
      </c>
      <c r="J22" s="7" t="n">
        <v>15594</v>
      </c>
      <c r="K22" s="8" t="n">
        <v>680</v>
      </c>
      <c r="L22" s="9" t="n">
        <f aca="false">((J23-J22)/J22)/((K23-K22)/K22)</f>
        <v>-0.387490807077698</v>
      </c>
      <c r="M22" s="7" t="n">
        <v>18588</v>
      </c>
      <c r="N22" s="8" t="n">
        <v>613</v>
      </c>
      <c r="O22" s="9" t="n">
        <f aca="false">((M23-M22)/M22)/((N23-N22)/N22)</f>
        <v>3.77051502761638</v>
      </c>
      <c r="P22" s="7" t="n">
        <v>16058</v>
      </c>
      <c r="Q22" s="8" t="n">
        <v>570</v>
      </c>
      <c r="R22" s="9" t="n">
        <f aca="false">((P23-P22)/P22)/((Q23-Q22)/Q22)</f>
        <v>20.0909204135011</v>
      </c>
    </row>
    <row r="23" customFormat="false" ht="12" hidden="false" customHeight="false" outlineLevel="0" collapsed="false">
      <c r="C23" s="6" t="n">
        <v>50</v>
      </c>
      <c r="D23" s="7" t="n">
        <v>29822</v>
      </c>
      <c r="E23" s="8" t="n">
        <v>729</v>
      </c>
      <c r="F23" s="9" t="n">
        <f aca="false">((D24-D23)/D23)/((E24-E23)/E23)</f>
        <v>-0.450549045068984</v>
      </c>
      <c r="G23" s="8" t="n">
        <v>17031</v>
      </c>
      <c r="H23" s="8" t="n">
        <v>1631</v>
      </c>
      <c r="I23" s="9" t="n">
        <f aca="false">((G24-G23)/G24)/((H24-H23)/H23)</f>
        <v>-1.16122179982202</v>
      </c>
      <c r="J23" s="7" t="n">
        <v>14892</v>
      </c>
      <c r="K23" s="8" t="n">
        <v>759</v>
      </c>
      <c r="L23" s="9" t="n">
        <f aca="false">((J24-J23)/J23)/((K24-K23)/K23)</f>
        <v>-0.184174277362699</v>
      </c>
      <c r="M23" s="7" t="n">
        <v>17902</v>
      </c>
      <c r="N23" s="8" t="n">
        <v>607</v>
      </c>
      <c r="O23" s="9" t="n">
        <f aca="false">((M24-M23)/M23)/((N24-N23)/N23)</f>
        <v>6.16179502544155</v>
      </c>
      <c r="P23" s="7" t="n">
        <v>15492</v>
      </c>
      <c r="Q23" s="8" t="n">
        <v>569</v>
      </c>
      <c r="R23" s="9" t="n">
        <f aca="false">((P24-P23)/P23)/((Q24-Q23)/Q23)</f>
        <v>-3.52208270482558</v>
      </c>
    </row>
    <row r="24" customFormat="false" ht="13" hidden="false" customHeight="false" outlineLevel="0" collapsed="false">
      <c r="C24" s="6" t="n">
        <v>60</v>
      </c>
      <c r="D24" s="7" t="n">
        <v>20459</v>
      </c>
      <c r="E24" s="8" t="n">
        <v>1237</v>
      </c>
      <c r="F24" s="9"/>
      <c r="G24" s="8" t="n">
        <v>11677</v>
      </c>
      <c r="H24" s="8" t="n">
        <v>2275</v>
      </c>
      <c r="I24" s="9"/>
      <c r="J24" s="7" t="n">
        <v>10216</v>
      </c>
      <c r="K24" s="8" t="n">
        <v>2053</v>
      </c>
      <c r="L24" s="9"/>
      <c r="M24" s="7" t="n">
        <v>15903</v>
      </c>
      <c r="N24" s="8" t="n">
        <v>596</v>
      </c>
      <c r="O24" s="9"/>
      <c r="P24" s="7" t="n">
        <v>13670</v>
      </c>
      <c r="Q24" s="8" t="n">
        <v>588</v>
      </c>
      <c r="R24" s="9"/>
    </row>
    <row r="25" customFormat="false" ht="13" hidden="false" customHeight="false" outlineLevel="0" collapsed="false">
      <c r="C25" s="17" t="s">
        <v>18</v>
      </c>
      <c r="D25" s="18"/>
      <c r="E25" s="19"/>
      <c r="F25" s="20" t="n">
        <f aca="false">AVERAGE(F19:F23)</f>
        <v>-0.533977227261497</v>
      </c>
      <c r="G25" s="19"/>
      <c r="H25" s="19"/>
      <c r="I25" s="20" t="n">
        <f aca="false">AVERAGE(I19:I23)</f>
        <v>-0.43356542967768</v>
      </c>
      <c r="J25" s="18"/>
      <c r="K25" s="19"/>
      <c r="L25" s="20" t="n">
        <f aca="false">AVERAGE(L19:L23)</f>
        <v>-0.268679878963923</v>
      </c>
      <c r="M25" s="18"/>
      <c r="N25" s="19"/>
      <c r="O25" s="20" t="n">
        <f aca="false">AVERAGE(O19:O23)</f>
        <v>-2.72179562442836</v>
      </c>
      <c r="P25" s="18"/>
      <c r="Q25" s="19"/>
      <c r="R25" s="20" t="n">
        <f aca="false">AVERAGE(R19:R23)</f>
        <v>6.70173998595021</v>
      </c>
    </row>
    <row r="27" customFormat="false" ht="12" hidden="false" customHeight="false" outlineLevel="0" collapsed="false">
      <c r="F27" s="0" t="s">
        <v>20</v>
      </c>
    </row>
    <row r="28" customFormat="false" ht="12" hidden="false" customHeight="false" outlineLevel="0" collapsed="false">
      <c r="F28" s="0" t="s">
        <v>21</v>
      </c>
    </row>
    <row r="29" customFormat="false" ht="12" hidden="false" customHeight="false" outlineLevel="0" collapsed="false">
      <c r="F29" s="0" t="s">
        <v>22</v>
      </c>
    </row>
    <row r="30" customFormat="false" ht="12" hidden="false" customHeight="false" outlineLevel="0" collapsed="false">
      <c r="F30" s="0" t="s">
        <v>23</v>
      </c>
    </row>
    <row r="31" customFormat="false" ht="12" hidden="false" customHeight="false" outlineLevel="0" collapsed="false">
      <c r="F31" s="0" t="s">
        <v>24</v>
      </c>
    </row>
    <row r="32" customFormat="false" ht="12" hidden="false" customHeight="false" outlineLevel="0" collapsed="false">
      <c r="F32" s="0" t="s">
        <v>25</v>
      </c>
    </row>
    <row r="33" customFormat="false" ht="12" hidden="false" customHeight="false" outlineLevel="0" collapsed="false">
      <c r="F33" s="1" t="s">
        <v>26</v>
      </c>
      <c r="G33" s="1"/>
      <c r="H33" s="1"/>
      <c r="I33" s="1"/>
    </row>
    <row r="34" customFormat="false" ht="12" hidden="false" customHeight="false" outlineLevel="0" collapsed="false">
      <c r="F34" s="0" t="s">
        <v>27</v>
      </c>
    </row>
    <row r="37" customFormat="false" ht="12" hidden="false" customHeight="false" outlineLevel="0" collapsed="false">
      <c r="E37" s="1"/>
      <c r="F37" s="1"/>
      <c r="G37" s="1"/>
      <c r="H37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4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:I11"/>
    </sheetView>
  </sheetViews>
  <sheetFormatPr defaultColWidth="11.0546875" defaultRowHeight="12" customHeight="false" zeroHeight="false" outlineLevelRow="0" outlineLevelCol="0"/>
  <sheetData>
    <row r="4" customFormat="false" ht="13" hidden="false" customHeight="false" outlineLevel="0" collapsed="false"/>
    <row r="5" customFormat="false" ht="16" hidden="false" customHeight="false" outlineLevel="0" collapsed="false">
      <c r="E5" s="21" t="s">
        <v>28</v>
      </c>
      <c r="F5" s="22" t="s">
        <v>29</v>
      </c>
      <c r="G5" s="23" t="s">
        <v>30</v>
      </c>
      <c r="H5" s="22" t="s">
        <v>31</v>
      </c>
    </row>
    <row r="6" customFormat="false" ht="15" hidden="false" customHeight="false" outlineLevel="0" collapsed="false">
      <c r="E6" s="24" t="n">
        <v>0</v>
      </c>
      <c r="F6" s="25" t="n">
        <v>0</v>
      </c>
      <c r="G6" s="25" t="n">
        <v>1</v>
      </c>
      <c r="H6" s="26" t="n">
        <f aca="false">-943.193611111111/2</f>
        <v>-471.596805555556</v>
      </c>
    </row>
    <row r="7" customFormat="false" ht="15" hidden="false" customHeight="false" outlineLevel="0" collapsed="false">
      <c r="E7" s="27" t="n">
        <v>1</v>
      </c>
      <c r="F7" s="28" t="n">
        <v>0</v>
      </c>
      <c r="G7" s="28" t="n">
        <v>1</v>
      </c>
      <c r="H7" s="29" t="n">
        <f aca="false">-804.804166666667/2</f>
        <v>-402.402083333334</v>
      </c>
    </row>
    <row r="8" customFormat="false" ht="15" hidden="false" customHeight="false" outlineLevel="0" collapsed="false">
      <c r="E8" s="27" t="n">
        <v>0</v>
      </c>
      <c r="F8" s="28" t="n">
        <v>1</v>
      </c>
      <c r="G8" s="28" t="n">
        <v>1</v>
      </c>
      <c r="H8" s="29" t="n">
        <f aca="false">-428.742222222222/2</f>
        <v>-214.371111111111</v>
      </c>
    </row>
    <row r="9" customFormat="false" ht="16" hidden="false" customHeight="false" outlineLevel="0" collapsed="false">
      <c r="E9" s="30" t="n">
        <v>1</v>
      </c>
      <c r="F9" s="31" t="n">
        <v>1</v>
      </c>
      <c r="G9" s="31" t="n">
        <v>1</v>
      </c>
      <c r="H9" s="32" t="n">
        <f aca="false">-380.571944444444/2</f>
        <v>-190.285972222222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G81"/>
  <sheetViews>
    <sheetView showFormulas="false" showGridLines="true" showRowColHeaders="true" showZeros="true" rightToLeft="false" tabSelected="true" showOutlineSymbols="true" defaultGridColor="true" view="normal" topLeftCell="X3" colorId="64" zoomScale="100" zoomScaleNormal="100" zoomScalePageLayoutView="100" workbookViewId="0">
      <selection pane="topLeft" activeCell="AC23" activeCellId="0" sqref="AC23:AG31"/>
    </sheetView>
  </sheetViews>
  <sheetFormatPr defaultColWidth="11.0546875" defaultRowHeight="12" customHeight="false" zeroHeight="false" outlineLevelRow="0" outlineLevelCol="0"/>
  <cols>
    <col collapsed="false" customWidth="true" hidden="false" outlineLevel="0" max="2" min="2" style="0" width="5.82"/>
    <col collapsed="false" customWidth="true" hidden="false" outlineLevel="0" max="3" min="3" style="0" width="16.32"/>
    <col collapsed="false" customWidth="true" hidden="false" outlineLevel="0" max="4" min="4" style="0" width="13.82"/>
    <col collapsed="false" customWidth="true" hidden="false" outlineLevel="0" max="5" min="5" style="0" width="17.66"/>
    <col collapsed="false" customWidth="true" hidden="false" outlineLevel="0" max="6" min="6" style="0" width="14.15"/>
    <col collapsed="false" customWidth="true" hidden="false" outlineLevel="0" max="7" min="7" style="0" width="16.82"/>
    <col collapsed="false" customWidth="true" hidden="false" outlineLevel="0" max="11" min="11" style="0" width="12.66"/>
    <col collapsed="false" customWidth="true" hidden="false" outlineLevel="0" max="12" min="12" style="0" width="13.66"/>
    <col collapsed="false" customWidth="true" hidden="false" outlineLevel="0" max="13" min="13" style="0" width="10.99"/>
    <col collapsed="false" customWidth="true" hidden="false" outlineLevel="0" max="21" min="21" style="0" width="15.15"/>
    <col collapsed="false" customWidth="true" hidden="false" outlineLevel="0" max="22" min="22" style="0" width="16.99"/>
    <col collapsed="false" customWidth="true" hidden="false" outlineLevel="0" max="23" min="23" style="0" width="18.99"/>
    <col collapsed="false" customWidth="true" hidden="false" outlineLevel="0" max="24" min="24" style="0" width="12.32"/>
    <col collapsed="false" customWidth="true" hidden="false" outlineLevel="0" max="25" min="25" style="0" width="15.99"/>
    <col collapsed="false" customWidth="true" hidden="false" outlineLevel="0" max="26" min="26" style="0" width="10.5"/>
    <col collapsed="false" customWidth="true" hidden="false" outlineLevel="0" max="27" min="27" style="0" width="16.32"/>
    <col collapsed="false" customWidth="true" hidden="false" outlineLevel="0" max="28" min="28" style="0" width="15.15"/>
    <col collapsed="false" customWidth="true" hidden="false" outlineLevel="0" max="29" min="29" style="0" width="8.82"/>
    <col collapsed="false" customWidth="true" hidden="false" outlineLevel="0" max="30" min="30" style="0" width="20.82"/>
    <col collapsed="false" customWidth="true" hidden="false" outlineLevel="0" max="31" min="31" style="0" width="14.99"/>
    <col collapsed="false" customWidth="true" hidden="false" outlineLevel="0" max="32" min="32" style="0" width="23.49"/>
    <col collapsed="false" customWidth="true" hidden="false" outlineLevel="0" max="33" min="33" style="0" width="10.66"/>
  </cols>
  <sheetData>
    <row r="3" customFormat="false" ht="12" hidden="false" customHeight="false" outlineLevel="0" collapsed="false">
      <c r="E3" s="0" t="s">
        <v>32</v>
      </c>
    </row>
    <row r="5" customFormat="false" ht="12" hidden="false" customHeight="false" outlineLevel="0" collapsed="false">
      <c r="C5" s="0" t="s">
        <v>33</v>
      </c>
      <c r="D5" s="0" t="s">
        <v>28</v>
      </c>
      <c r="E5" s="0" t="s">
        <v>29</v>
      </c>
      <c r="F5" s="0" t="s">
        <v>30</v>
      </c>
      <c r="G5" s="0" t="s">
        <v>31</v>
      </c>
    </row>
    <row r="7" customFormat="false" ht="12" hidden="false" customHeight="false" outlineLevel="0" collapsed="false">
      <c r="C7" s="0" t="n">
        <v>1</v>
      </c>
      <c r="D7" s="0" t="n">
        <v>0</v>
      </c>
      <c r="E7" s="0" t="n">
        <v>0</v>
      </c>
      <c r="F7" s="0" t="n">
        <v>0</v>
      </c>
      <c r="G7" s="33" t="n">
        <v>-686.146388888889</v>
      </c>
    </row>
    <row r="8" customFormat="false" ht="12" hidden="false" customHeight="false" outlineLevel="0" collapsed="false">
      <c r="C8" s="0" t="n">
        <v>2</v>
      </c>
      <c r="D8" s="0" t="n">
        <v>1</v>
      </c>
      <c r="E8" s="0" t="n">
        <v>0</v>
      </c>
      <c r="F8" s="0" t="n">
        <v>0</v>
      </c>
      <c r="G8" s="33" t="n">
        <v>-545.567222222222</v>
      </c>
    </row>
    <row r="9" customFormat="false" ht="15" hidden="false" customHeight="false" outlineLevel="0" collapsed="false">
      <c r="C9" s="0" t="n">
        <v>3</v>
      </c>
      <c r="D9" s="0" t="n">
        <v>0</v>
      </c>
      <c r="E9" s="0" t="n">
        <v>1</v>
      </c>
      <c r="F9" s="0" t="n">
        <v>0</v>
      </c>
      <c r="G9" s="33" t="n">
        <v>-444.076944444444</v>
      </c>
      <c r="V9" s="34" t="s">
        <v>34</v>
      </c>
      <c r="W9" s="34"/>
      <c r="X9" s="34"/>
      <c r="Y9" s="34"/>
      <c r="Z9" s="34"/>
    </row>
    <row r="10" customFormat="false" ht="15" hidden="false" customHeight="false" outlineLevel="0" collapsed="false">
      <c r="C10" s="0" t="n">
        <v>4</v>
      </c>
      <c r="D10" s="0" t="n">
        <v>1</v>
      </c>
      <c r="E10" s="0" t="n">
        <v>1</v>
      </c>
      <c r="F10" s="0" t="n">
        <v>0</v>
      </c>
      <c r="G10" s="33" t="n">
        <v>-428.717222222222</v>
      </c>
      <c r="K10" s="34"/>
      <c r="L10" s="34"/>
      <c r="M10" s="34"/>
      <c r="N10" s="34"/>
    </row>
    <row r="11" customFormat="false" ht="13" hidden="false" customHeight="false" outlineLevel="0" collapsed="false">
      <c r="C11" s="0" t="n">
        <v>5</v>
      </c>
      <c r="D11" s="0" t="n">
        <v>0</v>
      </c>
      <c r="E11" s="0" t="n">
        <v>0</v>
      </c>
      <c r="F11" s="0" t="n">
        <v>1</v>
      </c>
      <c r="G11" s="35" t="n">
        <f aca="false">-804.804166666667/2</f>
        <v>-402.402083333334</v>
      </c>
    </row>
    <row r="12" customFormat="false" ht="16" hidden="false" customHeight="false" outlineLevel="0" collapsed="false">
      <c r="C12" s="0" t="n">
        <v>6</v>
      </c>
      <c r="D12" s="0" t="n">
        <v>1</v>
      </c>
      <c r="E12" s="0" t="n">
        <v>0</v>
      </c>
      <c r="F12" s="0" t="n">
        <v>1</v>
      </c>
      <c r="G12" s="35" t="n">
        <f aca="false">-675.727222222222/2</f>
        <v>-337.863611111111</v>
      </c>
      <c r="K12" s="34" t="s">
        <v>35</v>
      </c>
      <c r="L12" s="34"/>
      <c r="M12" s="34"/>
      <c r="N12" s="34"/>
      <c r="T12" s="36" t="s">
        <v>36</v>
      </c>
      <c r="U12" s="37"/>
      <c r="V12" s="38" t="s">
        <v>37</v>
      </c>
      <c r="W12" s="38"/>
      <c r="X12" s="36" t="s">
        <v>38</v>
      </c>
      <c r="Y12" s="37" t="s">
        <v>39</v>
      </c>
      <c r="Z12" s="38"/>
      <c r="AA12" s="39"/>
      <c r="AB12" s="36" t="s">
        <v>38</v>
      </c>
    </row>
    <row r="13" customFormat="false" ht="15" hidden="false" customHeight="false" outlineLevel="0" collapsed="false">
      <c r="C13" s="0" t="n">
        <v>7</v>
      </c>
      <c r="D13" s="0" t="n">
        <v>0</v>
      </c>
      <c r="E13" s="0" t="n">
        <v>1</v>
      </c>
      <c r="F13" s="0" t="n">
        <v>1</v>
      </c>
      <c r="G13" s="35" t="n">
        <f aca="false">-380.571944444444/2</f>
        <v>-190.285972222222</v>
      </c>
      <c r="K13" s="34" t="s">
        <v>40</v>
      </c>
      <c r="L13" s="34"/>
      <c r="M13" s="34"/>
      <c r="N13" s="34"/>
      <c r="T13" s="6"/>
      <c r="U13" s="37" t="s">
        <v>41</v>
      </c>
      <c r="V13" s="38" t="s">
        <v>42</v>
      </c>
      <c r="W13" s="39" t="s">
        <v>43</v>
      </c>
      <c r="X13" s="40"/>
      <c r="Y13" s="37" t="s">
        <v>41</v>
      </c>
      <c r="Z13" s="38" t="s">
        <v>42</v>
      </c>
      <c r="AA13" s="39" t="s">
        <v>43</v>
      </c>
      <c r="AB13" s="9"/>
    </row>
    <row r="14" customFormat="false" ht="13" hidden="false" customHeight="false" outlineLevel="0" collapsed="false">
      <c r="C14" s="0" t="n">
        <v>8</v>
      </c>
      <c r="D14" s="0" t="n">
        <v>1</v>
      </c>
      <c r="E14" s="0" t="n">
        <v>1</v>
      </c>
      <c r="F14" s="0" t="n">
        <v>1</v>
      </c>
      <c r="G14" s="35" t="n">
        <f aca="false">-310.852777777778/2</f>
        <v>-155.426388888889</v>
      </c>
      <c r="T14" s="12"/>
      <c r="U14" s="13"/>
      <c r="V14" s="14"/>
      <c r="W14" s="15"/>
      <c r="X14" s="15"/>
      <c r="Y14" s="13"/>
      <c r="Z14" s="14"/>
      <c r="AA14" s="15"/>
      <c r="AB14" s="15"/>
    </row>
    <row r="15" customFormat="false" ht="16" hidden="false" customHeight="false" outlineLevel="0" collapsed="false">
      <c r="K15" s="41"/>
      <c r="L15" s="41" t="s">
        <v>44</v>
      </c>
      <c r="M15" s="41" t="s">
        <v>45</v>
      </c>
      <c r="N15" s="41" t="s">
        <v>46</v>
      </c>
      <c r="T15" s="6"/>
      <c r="U15" s="7"/>
      <c r="V15" s="8"/>
      <c r="W15" s="9"/>
      <c r="X15" s="9"/>
      <c r="Y15" s="7"/>
      <c r="Z15" s="8"/>
      <c r="AA15" s="9"/>
      <c r="AB15" s="9"/>
    </row>
    <row r="16" customFormat="false" ht="15" hidden="false" customHeight="false" outlineLevel="0" collapsed="false">
      <c r="E16" s="0" t="s">
        <v>47</v>
      </c>
      <c r="K16" s="42"/>
      <c r="L16" s="42"/>
      <c r="M16" s="42"/>
      <c r="N16" s="42"/>
      <c r="T16" s="42" t="s">
        <v>48</v>
      </c>
      <c r="U16" s="43" t="n">
        <v>65</v>
      </c>
      <c r="V16" s="44" t="n">
        <v>212</v>
      </c>
      <c r="W16" s="45" t="n">
        <v>247</v>
      </c>
      <c r="X16" s="45" t="s">
        <v>49</v>
      </c>
      <c r="Y16" s="43" t="n">
        <v>141</v>
      </c>
      <c r="Z16" s="44" t="n">
        <v>242</v>
      </c>
      <c r="AA16" s="45" t="n">
        <v>257</v>
      </c>
      <c r="AB16" s="45" t="s">
        <v>49</v>
      </c>
    </row>
    <row r="17" customFormat="false" ht="15" hidden="false" customHeight="false" outlineLevel="0" collapsed="false">
      <c r="K17" s="42" t="s">
        <v>50</v>
      </c>
      <c r="L17" s="46" t="n">
        <v>-155</v>
      </c>
      <c r="M17" s="46" t="n">
        <v>-338</v>
      </c>
      <c r="N17" s="46" t="n">
        <v>182</v>
      </c>
      <c r="T17" s="42"/>
      <c r="U17" s="43"/>
      <c r="V17" s="44"/>
      <c r="W17" s="45"/>
      <c r="X17" s="45"/>
      <c r="Y17" s="43"/>
      <c r="Z17" s="44"/>
      <c r="AA17" s="45"/>
      <c r="AB17" s="9"/>
    </row>
    <row r="18" customFormat="false" ht="16" hidden="false" customHeight="false" outlineLevel="0" collapsed="false">
      <c r="K18" s="42" t="s">
        <v>51</v>
      </c>
      <c r="L18" s="46" t="n">
        <v>-190</v>
      </c>
      <c r="M18" s="46" t="n">
        <v>-402</v>
      </c>
      <c r="N18" s="46" t="n">
        <v>212</v>
      </c>
      <c r="T18" s="47" t="s">
        <v>52</v>
      </c>
      <c r="U18" s="48" t="n">
        <v>45</v>
      </c>
      <c r="V18" s="49" t="n">
        <v>148</v>
      </c>
      <c r="W18" s="50" t="n">
        <v>166</v>
      </c>
      <c r="X18" s="50" t="s">
        <v>49</v>
      </c>
      <c r="Y18" s="48" t="n">
        <v>401</v>
      </c>
      <c r="Z18" s="49" t="n">
        <v>128</v>
      </c>
      <c r="AA18" s="50" t="n">
        <v>484</v>
      </c>
      <c r="AB18" s="50" t="s">
        <v>49</v>
      </c>
    </row>
    <row r="19" customFormat="false" ht="16" hidden="false" customHeight="false" outlineLevel="0" collapsed="false">
      <c r="C19" s="0" t="s">
        <v>33</v>
      </c>
      <c r="D19" s="0" t="s">
        <v>28</v>
      </c>
      <c r="E19" s="0" t="s">
        <v>29</v>
      </c>
      <c r="F19" s="0" t="s">
        <v>30</v>
      </c>
      <c r="G19" s="0" t="s">
        <v>31</v>
      </c>
      <c r="K19" s="47" t="s">
        <v>46</v>
      </c>
      <c r="L19" s="51" t="n">
        <v>35</v>
      </c>
      <c r="M19" s="51" t="n">
        <v>65</v>
      </c>
      <c r="N19" s="51" t="n">
        <v>247</v>
      </c>
      <c r="T19" s="8"/>
      <c r="U19" s="8"/>
      <c r="V19" s="8"/>
      <c r="W19" s="8"/>
      <c r="X19" s="8"/>
      <c r="Y19" s="8"/>
      <c r="Z19" s="8"/>
      <c r="AA19" s="8"/>
      <c r="AB19" s="8"/>
    </row>
    <row r="20" customFormat="false" ht="13" hidden="false" customHeight="false" outlineLevel="0" collapsed="false">
      <c r="T20" s="8"/>
      <c r="U20" s="8"/>
      <c r="V20" s="8"/>
      <c r="W20" s="8"/>
      <c r="X20" s="8"/>
      <c r="Y20" s="8"/>
      <c r="Z20" s="8"/>
      <c r="AA20" s="8"/>
      <c r="AB20" s="8"/>
    </row>
    <row r="21" customFormat="false" ht="16" hidden="false" customHeight="false" outlineLevel="0" collapsed="false">
      <c r="C21" s="0" t="n">
        <v>1</v>
      </c>
      <c r="D21" s="0" t="n">
        <v>0</v>
      </c>
      <c r="E21" s="0" t="n">
        <v>0</v>
      </c>
      <c r="F21" s="0" t="n">
        <v>0</v>
      </c>
      <c r="G21" s="35" t="n">
        <v>-1108.76555555556</v>
      </c>
      <c r="K21" s="52" t="s">
        <v>53</v>
      </c>
      <c r="L21" s="53" t="s">
        <v>54</v>
      </c>
      <c r="M21" s="54" t="n">
        <f aca="false">N19</f>
        <v>247</v>
      </c>
      <c r="T21" s="8"/>
      <c r="U21" s="8"/>
      <c r="V21" s="8"/>
      <c r="W21" s="8"/>
      <c r="X21" s="8"/>
      <c r="Y21" s="8"/>
      <c r="Z21" s="8"/>
      <c r="AA21" s="8"/>
      <c r="AB21" s="8"/>
    </row>
    <row r="22" customFormat="false" ht="12" hidden="false" customHeight="false" outlineLevel="0" collapsed="false">
      <c r="C22" s="0" t="n">
        <v>2</v>
      </c>
      <c r="D22" s="0" t="n">
        <v>1</v>
      </c>
      <c r="E22" s="0" t="n">
        <v>0</v>
      </c>
      <c r="F22" s="0" t="n">
        <v>0</v>
      </c>
      <c r="G22" s="35" t="n">
        <v>-707.270833333333</v>
      </c>
    </row>
    <row r="23" customFormat="false" ht="15" hidden="false" customHeight="false" outlineLevel="0" collapsed="false">
      <c r="C23" s="0" t="n">
        <v>3</v>
      </c>
      <c r="D23" s="0" t="n">
        <v>0</v>
      </c>
      <c r="E23" s="0" t="n">
        <v>1</v>
      </c>
      <c r="F23" s="0" t="n">
        <v>0</v>
      </c>
      <c r="G23" s="35" t="n">
        <v>-980.334722222222</v>
      </c>
      <c r="V23" s="34" t="s">
        <v>55</v>
      </c>
      <c r="W23" s="34"/>
      <c r="X23" s="34"/>
      <c r="Y23" s="34"/>
      <c r="Z23" s="34"/>
      <c r="AC23" s="34" t="s">
        <v>56</v>
      </c>
    </row>
    <row r="24" customFormat="false" ht="12" hidden="false" customHeight="false" outlineLevel="0" collapsed="false">
      <c r="C24" s="0" t="n">
        <v>4</v>
      </c>
      <c r="D24" s="0" t="n">
        <v>1</v>
      </c>
      <c r="E24" s="0" t="n">
        <v>1</v>
      </c>
      <c r="F24" s="0" t="n">
        <v>0</v>
      </c>
      <c r="G24" s="35" t="n">
        <v>-624.467777777778</v>
      </c>
    </row>
    <row r="25" customFormat="false" ht="13" hidden="false" customHeight="false" outlineLevel="0" collapsed="false">
      <c r="C25" s="0" t="n">
        <v>5</v>
      </c>
      <c r="D25" s="0" t="n">
        <v>0</v>
      </c>
      <c r="E25" s="0" t="n">
        <v>0</v>
      </c>
      <c r="F25" s="0" t="n">
        <v>1</v>
      </c>
      <c r="G25" s="35" t="n">
        <v>-586</v>
      </c>
    </row>
    <row r="26" customFormat="false" ht="15" hidden="false" customHeight="false" outlineLevel="0" collapsed="false">
      <c r="C26" s="0" t="n">
        <v>7</v>
      </c>
      <c r="D26" s="0" t="n">
        <v>0</v>
      </c>
      <c r="E26" s="0" t="n">
        <v>1</v>
      </c>
      <c r="F26" s="0" t="n">
        <v>1</v>
      </c>
      <c r="G26" s="35" t="n">
        <v>-393</v>
      </c>
      <c r="T26" s="2"/>
      <c r="U26" s="37" t="s">
        <v>41</v>
      </c>
      <c r="V26" s="38" t="s">
        <v>57</v>
      </c>
      <c r="W26" s="39" t="s">
        <v>58</v>
      </c>
      <c r="X26" s="36" t="s">
        <v>38</v>
      </c>
      <c r="Y26" s="37" t="s">
        <v>59</v>
      </c>
      <c r="Z26" s="38" t="s">
        <v>57</v>
      </c>
      <c r="AA26" s="39" t="s">
        <v>60</v>
      </c>
      <c r="AB26" s="36" t="s">
        <v>61</v>
      </c>
      <c r="AC26" s="36" t="s">
        <v>36</v>
      </c>
      <c r="AD26" s="36" t="s">
        <v>62</v>
      </c>
      <c r="AE26" s="36" t="s">
        <v>57</v>
      </c>
      <c r="AF26" s="39" t="s">
        <v>63</v>
      </c>
      <c r="AG26" s="36" t="s">
        <v>61</v>
      </c>
    </row>
    <row r="27" customFormat="false" ht="13" hidden="false" customHeight="false" outlineLevel="0" collapsed="false">
      <c r="C27" s="0" t="n">
        <v>8</v>
      </c>
      <c r="D27" s="0" t="n">
        <v>1</v>
      </c>
      <c r="E27" s="0" t="n">
        <v>1</v>
      </c>
      <c r="F27" s="0" t="n">
        <v>1</v>
      </c>
      <c r="G27" s="35" t="n">
        <v>-374.5</v>
      </c>
      <c r="T27" s="12"/>
      <c r="U27" s="13"/>
      <c r="V27" s="14"/>
      <c r="W27" s="15"/>
      <c r="X27" s="12"/>
      <c r="Y27" s="13"/>
      <c r="Z27" s="14"/>
      <c r="AA27" s="15"/>
      <c r="AB27" s="12"/>
      <c r="AC27" s="12"/>
      <c r="AD27" s="55"/>
      <c r="AE27" s="12"/>
      <c r="AF27" s="15"/>
      <c r="AG27" s="12"/>
    </row>
    <row r="28" customFormat="false" ht="12" hidden="false" customHeight="false" outlineLevel="0" collapsed="false">
      <c r="T28" s="6"/>
      <c r="U28" s="7"/>
      <c r="V28" s="8"/>
      <c r="W28" s="9"/>
      <c r="X28" s="6"/>
      <c r="Y28" s="7"/>
      <c r="Z28" s="8"/>
      <c r="AA28" s="9"/>
      <c r="AB28" s="6"/>
      <c r="AC28" s="6"/>
      <c r="AD28" s="56"/>
      <c r="AE28" s="6"/>
      <c r="AF28" s="9"/>
      <c r="AG28" s="6"/>
    </row>
    <row r="29" customFormat="false" ht="15" hidden="false" customHeight="false" outlineLevel="0" collapsed="false">
      <c r="B29" s="57"/>
      <c r="C29" s="34" t="s">
        <v>64</v>
      </c>
      <c r="E29" s="57"/>
      <c r="F29" s="57"/>
      <c r="G29" s="57"/>
      <c r="T29" s="42" t="s">
        <v>48</v>
      </c>
      <c r="U29" s="43" t="n">
        <v>140</v>
      </c>
      <c r="V29" s="44" t="n">
        <v>284</v>
      </c>
      <c r="W29" s="45" t="n">
        <v>348</v>
      </c>
      <c r="X29" s="46" t="s">
        <v>49</v>
      </c>
      <c r="Y29" s="43" t="n">
        <v>242</v>
      </c>
      <c r="Z29" s="44" t="n">
        <v>284</v>
      </c>
      <c r="AA29" s="45" t="n">
        <v>496</v>
      </c>
      <c r="AB29" s="46" t="s">
        <v>49</v>
      </c>
      <c r="AC29" s="42" t="s">
        <v>48</v>
      </c>
      <c r="AD29" s="46" t="n">
        <v>257</v>
      </c>
      <c r="AE29" s="46" t="n">
        <v>284</v>
      </c>
      <c r="AF29" s="45" t="n">
        <v>531</v>
      </c>
      <c r="AG29" s="46" t="s">
        <v>49</v>
      </c>
    </row>
    <row r="30" customFormat="false" ht="16" hidden="false" customHeight="false" outlineLevel="0" collapsed="false">
      <c r="B30" s="57"/>
      <c r="C30" s="57"/>
      <c r="D30" s="57"/>
      <c r="E30" s="57"/>
      <c r="F30" s="57"/>
      <c r="G30" s="57"/>
      <c r="T30" s="42"/>
      <c r="U30" s="43"/>
      <c r="V30" s="44"/>
      <c r="W30" s="45"/>
      <c r="X30" s="46"/>
      <c r="Y30" s="43"/>
      <c r="Z30" s="44"/>
      <c r="AA30" s="45"/>
      <c r="AB30" s="6"/>
      <c r="AC30" s="42"/>
      <c r="AD30" s="46"/>
      <c r="AE30" s="46"/>
      <c r="AF30" s="45"/>
      <c r="AG30" s="6"/>
    </row>
    <row r="31" customFormat="false" ht="16" hidden="false" customHeight="false" outlineLevel="0" collapsed="false">
      <c r="B31" s="36"/>
      <c r="C31" s="36"/>
      <c r="D31" s="37" t="s">
        <v>65</v>
      </c>
      <c r="E31" s="39"/>
      <c r="F31" s="58" t="s">
        <v>66</v>
      </c>
      <c r="G31" s="58"/>
      <c r="T31" s="47" t="s">
        <v>52</v>
      </c>
      <c r="U31" s="48" t="n">
        <v>402</v>
      </c>
      <c r="V31" s="49" t="n">
        <v>523</v>
      </c>
      <c r="W31" s="50" t="n">
        <v>568</v>
      </c>
      <c r="X31" s="51" t="s">
        <v>49</v>
      </c>
      <c r="Y31" s="48" t="n">
        <v>129</v>
      </c>
      <c r="Z31" s="49" t="n">
        <v>523</v>
      </c>
      <c r="AA31" s="50" t="n">
        <v>716</v>
      </c>
      <c r="AB31" s="51" t="s">
        <v>67</v>
      </c>
      <c r="AC31" s="47" t="s">
        <v>52</v>
      </c>
      <c r="AD31" s="51" t="n">
        <v>485</v>
      </c>
      <c r="AE31" s="51" t="n">
        <v>523</v>
      </c>
      <c r="AF31" s="50" t="n">
        <v>734</v>
      </c>
      <c r="AG31" s="51" t="s">
        <v>49</v>
      </c>
    </row>
    <row r="32" customFormat="false" ht="16" hidden="false" customHeight="false" outlineLevel="0" collapsed="false">
      <c r="B32" s="59" t="s">
        <v>33</v>
      </c>
      <c r="C32" s="59"/>
      <c r="D32" s="60" t="s">
        <v>68</v>
      </c>
      <c r="E32" s="60" t="s">
        <v>69</v>
      </c>
      <c r="F32" s="60" t="s">
        <v>68</v>
      </c>
      <c r="G32" s="60" t="s">
        <v>69</v>
      </c>
    </row>
    <row r="33" customFormat="false" ht="15" hidden="false" customHeight="false" outlineLevel="0" collapsed="false">
      <c r="B33" s="6"/>
      <c r="C33" s="6"/>
      <c r="D33" s="36"/>
      <c r="E33" s="42"/>
      <c r="F33" s="36"/>
      <c r="G33" s="42"/>
    </row>
    <row r="34" customFormat="false" ht="15" hidden="false" customHeight="false" outlineLevel="0" collapsed="false">
      <c r="B34" s="61" t="n">
        <v>1</v>
      </c>
      <c r="C34" s="62" t="s">
        <v>70</v>
      </c>
      <c r="D34" s="63" t="n">
        <f aca="false">-804.804166666667/2</f>
        <v>-402.402083333334</v>
      </c>
      <c r="E34" s="63" t="n">
        <v>-686.146388888889</v>
      </c>
      <c r="F34" s="63" t="n">
        <v>-586</v>
      </c>
      <c r="G34" s="63" t="n">
        <v>-1108.76555555556</v>
      </c>
    </row>
    <row r="35" customFormat="false" ht="15" hidden="false" customHeight="false" outlineLevel="0" collapsed="false">
      <c r="B35" s="61" t="n">
        <v>2</v>
      </c>
      <c r="C35" s="62" t="s">
        <v>71</v>
      </c>
      <c r="D35" s="63" t="n">
        <f aca="false">-675.727222222222/2</f>
        <v>-337.863611111111</v>
      </c>
      <c r="E35" s="63" t="n">
        <v>-545.567222222222</v>
      </c>
      <c r="F35" s="63" t="n">
        <v>-541</v>
      </c>
      <c r="G35" s="63" t="n">
        <v>-707.270833333333</v>
      </c>
    </row>
    <row r="36" customFormat="false" ht="15" hidden="false" customHeight="false" outlineLevel="0" collapsed="false">
      <c r="B36" s="61" t="n">
        <v>3</v>
      </c>
      <c r="C36" s="62" t="s">
        <v>72</v>
      </c>
      <c r="D36" s="63" t="n">
        <f aca="false">-380.571944444444/2</f>
        <v>-190.285972222222</v>
      </c>
      <c r="E36" s="63" t="n">
        <v>-444.076944444444</v>
      </c>
      <c r="F36" s="63" t="n">
        <v>-393</v>
      </c>
      <c r="G36" s="63" t="n">
        <v>-980.334722222222</v>
      </c>
    </row>
    <row r="37" customFormat="false" ht="16" hidden="false" customHeight="false" outlineLevel="0" collapsed="false">
      <c r="B37" s="59" t="n">
        <v>4</v>
      </c>
      <c r="C37" s="64" t="s">
        <v>73</v>
      </c>
      <c r="D37" s="65" t="n">
        <f aca="false">-310.852777777778/2</f>
        <v>-155.426388888889</v>
      </c>
      <c r="E37" s="65" t="n">
        <v>-428.717222222222</v>
      </c>
      <c r="F37" s="65" t="n">
        <v>-374.5</v>
      </c>
      <c r="G37" s="65" t="n">
        <v>-624.467777777778</v>
      </c>
      <c r="U37" s="0" t="s">
        <v>33</v>
      </c>
      <c r="V37" s="0" t="s">
        <v>28</v>
      </c>
      <c r="W37" s="0" t="s">
        <v>29</v>
      </c>
      <c r="X37" s="0" t="s">
        <v>30</v>
      </c>
      <c r="Y37" s="0" t="s">
        <v>31</v>
      </c>
      <c r="AA37" s="0" t="s">
        <v>33</v>
      </c>
      <c r="AB37" s="0" t="s">
        <v>28</v>
      </c>
      <c r="AC37" s="0" t="s">
        <v>29</v>
      </c>
      <c r="AD37" s="0" t="s">
        <v>30</v>
      </c>
      <c r="AE37" s="0" t="s">
        <v>31</v>
      </c>
    </row>
    <row r="39" customFormat="false" ht="12" hidden="false" customHeight="false" outlineLevel="0" collapsed="false">
      <c r="U39" s="0" t="n">
        <v>1</v>
      </c>
      <c r="V39" s="0" t="n">
        <v>0</v>
      </c>
      <c r="W39" s="0" t="n">
        <v>0</v>
      </c>
      <c r="X39" s="0" t="n">
        <v>0</v>
      </c>
      <c r="Y39" s="33" t="n">
        <v>-686.146388888889</v>
      </c>
      <c r="AA39" s="0" t="n">
        <v>1</v>
      </c>
      <c r="AB39" s="0" t="n">
        <v>0</v>
      </c>
      <c r="AC39" s="0" t="n">
        <v>0</v>
      </c>
      <c r="AD39" s="0" t="n">
        <v>0</v>
      </c>
      <c r="AE39" s="35" t="n">
        <v>-1108.76555555556</v>
      </c>
    </row>
    <row r="40" customFormat="false" ht="12" hidden="false" customHeight="false" outlineLevel="0" collapsed="false">
      <c r="U40" s="0" t="n">
        <v>2</v>
      </c>
      <c r="V40" s="0" t="n">
        <v>1</v>
      </c>
      <c r="W40" s="0" t="n">
        <v>0</v>
      </c>
      <c r="X40" s="0" t="n">
        <v>0</v>
      </c>
      <c r="Y40" s="33" t="n">
        <v>-545.567222222222</v>
      </c>
      <c r="AA40" s="0" t="n">
        <v>2</v>
      </c>
      <c r="AB40" s="0" t="n">
        <v>1</v>
      </c>
      <c r="AC40" s="0" t="n">
        <v>0</v>
      </c>
      <c r="AD40" s="0" t="n">
        <v>0</v>
      </c>
      <c r="AE40" s="35" t="n">
        <v>-707.270833333333</v>
      </c>
    </row>
    <row r="41" customFormat="false" ht="12" hidden="false" customHeight="false" outlineLevel="0" collapsed="false">
      <c r="U41" s="0" t="n">
        <v>3</v>
      </c>
      <c r="V41" s="0" t="n">
        <v>0</v>
      </c>
      <c r="W41" s="0" t="n">
        <v>1</v>
      </c>
      <c r="X41" s="0" t="n">
        <v>0</v>
      </c>
      <c r="Y41" s="33" t="n">
        <v>-444.076944444444</v>
      </c>
      <c r="AA41" s="0" t="n">
        <v>3</v>
      </c>
      <c r="AB41" s="0" t="n">
        <v>0</v>
      </c>
      <c r="AC41" s="0" t="n">
        <v>1</v>
      </c>
      <c r="AD41" s="0" t="n">
        <v>0</v>
      </c>
      <c r="AE41" s="35" t="n">
        <v>-980.334722222222</v>
      </c>
    </row>
    <row r="42" customFormat="false" ht="12" hidden="false" customHeight="false" outlineLevel="0" collapsed="false">
      <c r="U42" s="0" t="n">
        <v>4</v>
      </c>
      <c r="V42" s="0" t="n">
        <v>1</v>
      </c>
      <c r="W42" s="0" t="n">
        <v>1</v>
      </c>
      <c r="X42" s="0" t="n">
        <v>0</v>
      </c>
      <c r="Y42" s="33" t="n">
        <v>-428.717222222222</v>
      </c>
      <c r="AA42" s="0" t="n">
        <v>4</v>
      </c>
      <c r="AB42" s="0" t="n">
        <v>1</v>
      </c>
      <c r="AC42" s="0" t="n">
        <v>1</v>
      </c>
      <c r="AD42" s="0" t="n">
        <v>0</v>
      </c>
      <c r="AE42" s="35" t="n">
        <v>-624.467777777778</v>
      </c>
    </row>
    <row r="43" customFormat="false" ht="12" hidden="false" customHeight="false" outlineLevel="0" collapsed="false">
      <c r="C43" s="0" t="s">
        <v>74</v>
      </c>
      <c r="U43" s="0" t="n">
        <v>5</v>
      </c>
      <c r="V43" s="0" t="n">
        <v>0</v>
      </c>
      <c r="W43" s="0" t="n">
        <v>0</v>
      </c>
      <c r="X43" s="0" t="n">
        <v>1</v>
      </c>
      <c r="Y43" s="35" t="n">
        <f aca="false">-804.804166666667/2</f>
        <v>-402.402083333334</v>
      </c>
      <c r="AA43" s="0" t="n">
        <v>5</v>
      </c>
      <c r="AB43" s="0" t="n">
        <v>0</v>
      </c>
      <c r="AC43" s="0" t="n">
        <v>0</v>
      </c>
      <c r="AD43" s="0" t="n">
        <v>1</v>
      </c>
      <c r="AE43" s="35" t="n">
        <v>-586</v>
      </c>
    </row>
    <row r="44" customFormat="false" ht="12" hidden="false" customHeight="false" outlineLevel="0" collapsed="false">
      <c r="U44" s="0" t="n">
        <v>6</v>
      </c>
      <c r="V44" s="0" t="n">
        <v>1</v>
      </c>
      <c r="W44" s="0" t="n">
        <v>0</v>
      </c>
      <c r="X44" s="0" t="n">
        <v>1</v>
      </c>
      <c r="Y44" s="35" t="n">
        <f aca="false">-675.727222222222/2</f>
        <v>-337.863611111111</v>
      </c>
      <c r="AA44" s="0" t="n">
        <v>6</v>
      </c>
      <c r="AB44" s="0" t="n">
        <v>1</v>
      </c>
      <c r="AC44" s="0" t="n">
        <v>0</v>
      </c>
      <c r="AD44" s="0" t="n">
        <v>1</v>
      </c>
      <c r="AE44" s="35" t="n">
        <v>-541</v>
      </c>
    </row>
    <row r="45" customFormat="false" ht="12" hidden="false" customHeight="false" outlineLevel="0" collapsed="false">
      <c r="D45" s="0" t="s">
        <v>75</v>
      </c>
      <c r="F45" s="0" t="s">
        <v>76</v>
      </c>
      <c r="U45" s="0" t="n">
        <v>7</v>
      </c>
      <c r="V45" s="0" t="n">
        <v>0</v>
      </c>
      <c r="W45" s="0" t="n">
        <v>1</v>
      </c>
      <c r="X45" s="0" t="n">
        <v>1</v>
      </c>
      <c r="Y45" s="35" t="n">
        <f aca="false">-380.571944444444/2</f>
        <v>-190.285972222222</v>
      </c>
      <c r="AA45" s="0" t="n">
        <v>7</v>
      </c>
      <c r="AB45" s="0" t="n">
        <v>0</v>
      </c>
      <c r="AC45" s="0" t="n">
        <v>1</v>
      </c>
      <c r="AD45" s="0" t="n">
        <v>1</v>
      </c>
      <c r="AE45" s="35" t="n">
        <v>-393</v>
      </c>
    </row>
    <row r="46" customFormat="false" ht="12" hidden="false" customHeight="false" outlineLevel="0" collapsed="false">
      <c r="B46" s="0" t="s">
        <v>33</v>
      </c>
      <c r="D46" s="0" t="s">
        <v>68</v>
      </c>
      <c r="E46" s="0" t="s">
        <v>69</v>
      </c>
      <c r="F46" s="0" t="s">
        <v>68</v>
      </c>
      <c r="G46" s="0" t="s">
        <v>69</v>
      </c>
      <c r="U46" s="0" t="n">
        <v>8</v>
      </c>
      <c r="V46" s="0" t="n">
        <v>1</v>
      </c>
      <c r="W46" s="0" t="n">
        <v>1</v>
      </c>
      <c r="X46" s="0" t="n">
        <v>1</v>
      </c>
      <c r="Y46" s="35" t="n">
        <f aca="false">-310.852777777778/2</f>
        <v>-155.426388888889</v>
      </c>
      <c r="AA46" s="0" t="n">
        <v>8</v>
      </c>
      <c r="AB46" s="0" t="n">
        <v>1</v>
      </c>
      <c r="AC46" s="0" t="n">
        <v>1</v>
      </c>
      <c r="AD46" s="0" t="n">
        <v>1</v>
      </c>
      <c r="AE46" s="35" t="n">
        <v>-374.5</v>
      </c>
    </row>
    <row r="48" customFormat="false" ht="12" hidden="false" customHeight="false" outlineLevel="0" collapsed="false">
      <c r="B48" s="0" t="n">
        <v>1</v>
      </c>
      <c r="C48" s="0" t="s">
        <v>70</v>
      </c>
      <c r="D48" s="0" t="n">
        <v>-402</v>
      </c>
      <c r="E48" s="0" t="n">
        <v>-686</v>
      </c>
      <c r="F48" s="0" t="n">
        <v>-586</v>
      </c>
      <c r="G48" s="0" t="n">
        <v>-1109</v>
      </c>
    </row>
    <row r="49" customFormat="false" ht="12" hidden="false" customHeight="false" outlineLevel="0" collapsed="false">
      <c r="B49" s="0" t="n">
        <v>2</v>
      </c>
      <c r="C49" s="0" t="s">
        <v>71</v>
      </c>
      <c r="D49" s="0" t="n">
        <v>-338</v>
      </c>
      <c r="E49" s="0" t="n">
        <v>-546</v>
      </c>
      <c r="F49" s="0" t="n">
        <v>-541</v>
      </c>
      <c r="G49" s="0" t="n">
        <v>-707</v>
      </c>
    </row>
    <row r="50" customFormat="false" ht="12" hidden="false" customHeight="false" outlineLevel="0" collapsed="false">
      <c r="B50" s="0" t="n">
        <v>3</v>
      </c>
      <c r="C50" s="0" t="s">
        <v>72</v>
      </c>
      <c r="D50" s="0" t="n">
        <v>-190</v>
      </c>
      <c r="E50" s="0" t="n">
        <v>-444</v>
      </c>
      <c r="F50" s="0" t="n">
        <v>-393</v>
      </c>
      <c r="G50" s="0" t="n">
        <v>-980</v>
      </c>
      <c r="V50" s="0" t="n">
        <v>-155</v>
      </c>
      <c r="W50" s="0" t="n">
        <v>-429</v>
      </c>
      <c r="AA50" s="0" t="n">
        <v>-375</v>
      </c>
      <c r="AB50" s="0" t="n">
        <v>-624</v>
      </c>
    </row>
    <row r="51" customFormat="false" ht="12" hidden="false" customHeight="false" outlineLevel="0" collapsed="false">
      <c r="B51" s="0" t="n">
        <v>4</v>
      </c>
      <c r="C51" s="0" t="s">
        <v>73</v>
      </c>
      <c r="D51" s="0" t="n">
        <v>-155</v>
      </c>
      <c r="E51" s="0" t="n">
        <v>-429</v>
      </c>
      <c r="F51" s="0" t="n">
        <v>-375</v>
      </c>
      <c r="G51" s="0" t="n">
        <v>-624</v>
      </c>
      <c r="V51" s="0" t="n">
        <v>-402</v>
      </c>
      <c r="W51" s="0" t="n">
        <v>-686</v>
      </c>
      <c r="X51" s="0" t="n">
        <f aca="false">V51-W51</f>
        <v>284</v>
      </c>
      <c r="AA51" s="0" t="n">
        <v>-586</v>
      </c>
      <c r="AB51" s="0" t="n">
        <v>-1109</v>
      </c>
      <c r="AC51" s="0" t="n">
        <f aca="false">AA51-AB51</f>
        <v>523</v>
      </c>
    </row>
    <row r="52" customFormat="false" ht="12" hidden="false" customHeight="false" outlineLevel="0" collapsed="false">
      <c r="W52" s="0" t="n">
        <f aca="false">W50-W51</f>
        <v>257</v>
      </c>
      <c r="X52" s="0" t="n">
        <f aca="false">V50-W51</f>
        <v>531</v>
      </c>
      <c r="AB52" s="0" t="n">
        <f aca="false">AB50-AB51</f>
        <v>485</v>
      </c>
      <c r="AC52" s="0" t="n">
        <f aca="false">AA50-AB51</f>
        <v>734</v>
      </c>
    </row>
    <row r="53" customFormat="false" ht="12" hidden="false" customHeight="false" outlineLevel="0" collapsed="false">
      <c r="Y53" s="0" t="n">
        <f aca="false">W52+X51</f>
        <v>541</v>
      </c>
    </row>
    <row r="54" customFormat="false" ht="12" hidden="false" customHeight="false" outlineLevel="0" collapsed="false">
      <c r="V54" s="0" t="n">
        <v>-190</v>
      </c>
      <c r="W54" s="0" t="n">
        <v>-444</v>
      </c>
      <c r="AB54" s="0" t="n">
        <f aca="false">AB52+AC51</f>
        <v>1008</v>
      </c>
    </row>
    <row r="55" customFormat="false" ht="12" hidden="false" customHeight="false" outlineLevel="0" collapsed="false">
      <c r="V55" s="0" t="n">
        <v>-402</v>
      </c>
      <c r="W55" s="0" t="n">
        <v>-686</v>
      </c>
      <c r="X55" s="0" t="n">
        <f aca="false">V55-W55</f>
        <v>284</v>
      </c>
    </row>
    <row r="56" customFormat="false" ht="12" hidden="false" customHeight="false" outlineLevel="0" collapsed="false">
      <c r="W56" s="0" t="n">
        <f aca="false">W54-W55</f>
        <v>242</v>
      </c>
      <c r="X56" s="0" t="n">
        <f aca="false">V54-W55</f>
        <v>496</v>
      </c>
    </row>
    <row r="57" customFormat="false" ht="12" hidden="false" customHeight="false" outlineLevel="0" collapsed="false">
      <c r="W57" s="0" t="n">
        <f aca="false">W56+X55</f>
        <v>526</v>
      </c>
    </row>
    <row r="73" customFormat="false" ht="15" hidden="false" customHeight="false" outlineLevel="0" collapsed="false">
      <c r="T73" s="34" t="s">
        <v>77</v>
      </c>
      <c r="W73" s="34"/>
      <c r="X73" s="34"/>
      <c r="Y73" s="34"/>
      <c r="Z73" s="34" t="s">
        <v>78</v>
      </c>
      <c r="AE73" s="34" t="s">
        <v>78</v>
      </c>
    </row>
    <row r="75" customFormat="false" ht="13" hidden="false" customHeight="false" outlineLevel="0" collapsed="false"/>
    <row r="76" customFormat="false" ht="15" hidden="false" customHeight="false" outlineLevel="0" collapsed="false">
      <c r="T76" s="2"/>
      <c r="U76" s="37" t="s">
        <v>41</v>
      </c>
      <c r="V76" s="38" t="s">
        <v>57</v>
      </c>
      <c r="W76" s="39" t="s">
        <v>58</v>
      </c>
      <c r="X76" s="36" t="s">
        <v>38</v>
      </c>
      <c r="Z76" s="36" t="s">
        <v>36</v>
      </c>
      <c r="AA76" s="36" t="s">
        <v>59</v>
      </c>
      <c r="AB76" s="36" t="s">
        <v>57</v>
      </c>
      <c r="AC76" s="39" t="s">
        <v>60</v>
      </c>
      <c r="AD76" s="36" t="s">
        <v>61</v>
      </c>
      <c r="AE76" s="38" t="s">
        <v>57</v>
      </c>
      <c r="AF76" s="39" t="s">
        <v>63</v>
      </c>
      <c r="AG76" s="36" t="s">
        <v>61</v>
      </c>
    </row>
    <row r="77" customFormat="false" ht="13" hidden="false" customHeight="false" outlineLevel="0" collapsed="false">
      <c r="T77" s="12"/>
      <c r="U77" s="13"/>
      <c r="V77" s="14"/>
      <c r="W77" s="15"/>
      <c r="X77" s="12"/>
      <c r="Z77" s="12"/>
      <c r="AA77" s="12"/>
      <c r="AB77" s="12"/>
      <c r="AC77" s="15"/>
      <c r="AD77" s="12"/>
      <c r="AE77" s="14"/>
      <c r="AF77" s="15"/>
      <c r="AG77" s="12"/>
    </row>
    <row r="78" customFormat="false" ht="12" hidden="false" customHeight="false" outlineLevel="0" collapsed="false">
      <c r="T78" s="6"/>
      <c r="U78" s="7"/>
      <c r="V78" s="8"/>
      <c r="W78" s="9"/>
      <c r="X78" s="6"/>
      <c r="Z78" s="6"/>
      <c r="AA78" s="6"/>
      <c r="AB78" s="6"/>
      <c r="AC78" s="9"/>
      <c r="AD78" s="6"/>
      <c r="AE78" s="8"/>
      <c r="AF78" s="9"/>
      <c r="AG78" s="6"/>
    </row>
    <row r="79" customFormat="false" ht="15" hidden="false" customHeight="false" outlineLevel="0" collapsed="false">
      <c r="T79" s="42" t="s">
        <v>48</v>
      </c>
      <c r="U79" s="43" t="n">
        <v>140</v>
      </c>
      <c r="V79" s="44" t="n">
        <v>284</v>
      </c>
      <c r="W79" s="45" t="n">
        <v>348</v>
      </c>
      <c r="X79" s="46" t="s">
        <v>49</v>
      </c>
      <c r="Z79" s="42" t="s">
        <v>48</v>
      </c>
      <c r="AA79" s="46" t="n">
        <v>242</v>
      </c>
      <c r="AB79" s="46" t="n">
        <v>284</v>
      </c>
      <c r="AC79" s="45" t="n">
        <v>496</v>
      </c>
      <c r="AD79" s="46" t="s">
        <v>49</v>
      </c>
      <c r="AE79" s="44" t="n">
        <v>284</v>
      </c>
      <c r="AF79" s="45" t="n">
        <v>531</v>
      </c>
      <c r="AG79" s="46" t="s">
        <v>49</v>
      </c>
    </row>
    <row r="80" customFormat="false" ht="15" hidden="false" customHeight="false" outlineLevel="0" collapsed="false">
      <c r="T80" s="42"/>
      <c r="U80" s="43"/>
      <c r="V80" s="44"/>
      <c r="W80" s="45"/>
      <c r="X80" s="46"/>
      <c r="Z80" s="42"/>
      <c r="AA80" s="46"/>
      <c r="AB80" s="46"/>
      <c r="AC80" s="45"/>
      <c r="AD80" s="6"/>
      <c r="AE80" s="44"/>
      <c r="AF80" s="45"/>
      <c r="AG80" s="6"/>
    </row>
    <row r="81" customFormat="false" ht="16" hidden="false" customHeight="false" outlineLevel="0" collapsed="false">
      <c r="T81" s="47" t="s">
        <v>52</v>
      </c>
      <c r="U81" s="48" t="n">
        <v>402</v>
      </c>
      <c r="V81" s="49" t="n">
        <v>523</v>
      </c>
      <c r="W81" s="50" t="n">
        <v>568</v>
      </c>
      <c r="X81" s="51" t="s">
        <v>49</v>
      </c>
      <c r="Z81" s="47" t="s">
        <v>52</v>
      </c>
      <c r="AA81" s="51" t="n">
        <v>129</v>
      </c>
      <c r="AB81" s="51" t="n">
        <v>523</v>
      </c>
      <c r="AC81" s="50" t="n">
        <v>716</v>
      </c>
      <c r="AD81" s="51" t="s">
        <v>67</v>
      </c>
      <c r="AE81" s="49" t="n">
        <v>523</v>
      </c>
      <c r="AF81" s="50" t="n">
        <v>734</v>
      </c>
      <c r="AG81" s="51" t="s">
        <v>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N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:G14"/>
    </sheetView>
  </sheetViews>
  <sheetFormatPr defaultColWidth="11.0546875" defaultRowHeight="12" customHeight="false" zeroHeight="false" outlineLevelRow="0" outlineLevelCol="0"/>
  <sheetData>
    <row r="3" customFormat="false" ht="15" hidden="false" customHeight="false" outlineLevel="0" collapsed="false">
      <c r="D3" s="66" t="s">
        <v>79</v>
      </c>
      <c r="E3" s="66"/>
      <c r="F3" s="67"/>
      <c r="K3" s="66" t="s">
        <v>80</v>
      </c>
      <c r="L3" s="66"/>
      <c r="M3" s="67"/>
    </row>
    <row r="5" customFormat="false" ht="12" hidden="false" customHeight="false" outlineLevel="0" collapsed="false">
      <c r="C5" s="0" t="s">
        <v>33</v>
      </c>
      <c r="D5" s="0" t="s">
        <v>28</v>
      </c>
      <c r="E5" s="0" t="s">
        <v>29</v>
      </c>
      <c r="F5" s="0" t="s">
        <v>30</v>
      </c>
      <c r="G5" s="0" t="s">
        <v>31</v>
      </c>
      <c r="J5" s="0" t="s">
        <v>33</v>
      </c>
      <c r="K5" s="0" t="s">
        <v>28</v>
      </c>
      <c r="L5" s="0" t="s">
        <v>29</v>
      </c>
      <c r="M5" s="0" t="s">
        <v>30</v>
      </c>
      <c r="N5" s="0" t="s">
        <v>31</v>
      </c>
    </row>
    <row r="7" customFormat="false" ht="12" hidden="false" customHeight="false" outlineLevel="0" collapsed="false">
      <c r="C7" s="0" t="n">
        <v>1</v>
      </c>
      <c r="D7" s="0" t="n">
        <v>0</v>
      </c>
      <c r="E7" s="0" t="n">
        <v>0</v>
      </c>
      <c r="F7" s="0" t="n">
        <v>0</v>
      </c>
      <c r="G7" s="33" t="n">
        <v>-686.146388888889</v>
      </c>
      <c r="J7" s="0" t="n">
        <v>1</v>
      </c>
      <c r="K7" s="0" t="n">
        <v>0</v>
      </c>
      <c r="L7" s="0" t="n">
        <v>0</v>
      </c>
      <c r="M7" s="0" t="n">
        <v>0</v>
      </c>
      <c r="N7" s="35" t="n">
        <v>-844.305</v>
      </c>
    </row>
    <row r="8" customFormat="false" ht="12" hidden="false" customHeight="false" outlineLevel="0" collapsed="false">
      <c r="C8" s="0" t="n">
        <v>2</v>
      </c>
      <c r="D8" s="0" t="n">
        <v>1</v>
      </c>
      <c r="E8" s="0" t="n">
        <v>0</v>
      </c>
      <c r="F8" s="0" t="n">
        <v>0</v>
      </c>
      <c r="G8" s="33" t="n">
        <v>-545.567222222222</v>
      </c>
      <c r="J8" s="0" t="n">
        <v>2</v>
      </c>
      <c r="K8" s="0" t="n">
        <v>1</v>
      </c>
      <c r="L8" s="0" t="n">
        <v>0</v>
      </c>
      <c r="M8" s="0" t="n">
        <v>0</v>
      </c>
      <c r="N8" s="35" t="n">
        <v>-545.567222222222</v>
      </c>
    </row>
    <row r="9" customFormat="false" ht="12" hidden="false" customHeight="false" outlineLevel="0" collapsed="false">
      <c r="C9" s="0" t="n">
        <v>3</v>
      </c>
      <c r="D9" s="0" t="n">
        <v>0</v>
      </c>
      <c r="E9" s="0" t="n">
        <v>1</v>
      </c>
      <c r="F9" s="0" t="n">
        <v>0</v>
      </c>
      <c r="G9" s="33" t="n">
        <v>-444.076944444444</v>
      </c>
      <c r="J9" s="0" t="n">
        <v>3</v>
      </c>
      <c r="K9" s="0" t="n">
        <v>0</v>
      </c>
      <c r="L9" s="0" t="n">
        <v>1</v>
      </c>
      <c r="M9" s="0" t="n">
        <v>0</v>
      </c>
      <c r="N9" s="35" t="n">
        <v>-450.259722222222</v>
      </c>
    </row>
    <row r="10" customFormat="false" ht="12" hidden="false" customHeight="false" outlineLevel="0" collapsed="false">
      <c r="C10" s="0" t="n">
        <v>4</v>
      </c>
      <c r="D10" s="0" t="n">
        <v>1</v>
      </c>
      <c r="E10" s="0" t="n">
        <v>1</v>
      </c>
      <c r="F10" s="0" t="n">
        <v>0</v>
      </c>
      <c r="G10" s="33" t="n">
        <v>-428.717222222222</v>
      </c>
      <c r="J10" s="0" t="n">
        <v>4</v>
      </c>
      <c r="K10" s="0" t="n">
        <v>1</v>
      </c>
      <c r="L10" s="0" t="n">
        <v>1</v>
      </c>
      <c r="M10" s="0" t="n">
        <v>0</v>
      </c>
      <c r="N10" s="35" t="n">
        <v>-428.717222222222</v>
      </c>
    </row>
    <row r="11" customFormat="false" ht="12" hidden="false" customHeight="false" outlineLevel="0" collapsed="false">
      <c r="C11" s="0" t="n">
        <v>5</v>
      </c>
      <c r="D11" s="0" t="n">
        <v>0</v>
      </c>
      <c r="E11" s="0" t="n">
        <v>0</v>
      </c>
      <c r="F11" s="0" t="n">
        <v>1</v>
      </c>
      <c r="G11" s="35" t="n">
        <f aca="false">-804.804166666667/2</f>
        <v>-402.402083333334</v>
      </c>
      <c r="I11" s="35"/>
      <c r="J11" s="0" t="n">
        <v>5</v>
      </c>
      <c r="K11" s="0" t="n">
        <v>0</v>
      </c>
      <c r="L11" s="0" t="n">
        <v>0</v>
      </c>
      <c r="M11" s="0" t="n">
        <v>1</v>
      </c>
      <c r="N11" s="35" t="n">
        <v>-471.5</v>
      </c>
    </row>
    <row r="12" customFormat="false" ht="12" hidden="false" customHeight="false" outlineLevel="0" collapsed="false">
      <c r="C12" s="0" t="n">
        <v>6</v>
      </c>
      <c r="D12" s="0" t="n">
        <v>1</v>
      </c>
      <c r="E12" s="0" t="n">
        <v>0</v>
      </c>
      <c r="F12" s="0" t="n">
        <v>1</v>
      </c>
      <c r="G12" s="35" t="n">
        <f aca="false">-675.727222222222/2</f>
        <v>-337.863611111111</v>
      </c>
      <c r="I12" s="35"/>
      <c r="J12" s="0" t="n">
        <v>6</v>
      </c>
      <c r="K12" s="0" t="n">
        <v>1</v>
      </c>
      <c r="L12" s="0" t="n">
        <v>0</v>
      </c>
      <c r="M12" s="0" t="n">
        <v>1</v>
      </c>
      <c r="N12" s="35" t="n">
        <v>-338</v>
      </c>
    </row>
    <row r="13" customFormat="false" ht="12" hidden="false" customHeight="false" outlineLevel="0" collapsed="false">
      <c r="C13" s="0" t="n">
        <v>7</v>
      </c>
      <c r="D13" s="0" t="n">
        <v>0</v>
      </c>
      <c r="E13" s="0" t="n">
        <v>1</v>
      </c>
      <c r="F13" s="0" t="n">
        <v>1</v>
      </c>
      <c r="G13" s="35" t="n">
        <f aca="false">-380.571944444444/2</f>
        <v>-190.285972222222</v>
      </c>
      <c r="I13" s="35"/>
      <c r="J13" s="0" t="n">
        <v>7</v>
      </c>
      <c r="K13" s="0" t="n">
        <v>0</v>
      </c>
      <c r="L13" s="0" t="n">
        <v>1</v>
      </c>
      <c r="M13" s="0" t="n">
        <v>1</v>
      </c>
      <c r="N13" s="35" t="n">
        <v>-214.5</v>
      </c>
    </row>
    <row r="14" customFormat="false" ht="12" hidden="false" customHeight="false" outlineLevel="0" collapsed="false">
      <c r="C14" s="0" t="n">
        <v>8</v>
      </c>
      <c r="D14" s="0" t="n">
        <v>1</v>
      </c>
      <c r="E14" s="0" t="n">
        <v>1</v>
      </c>
      <c r="F14" s="0" t="n">
        <v>1</v>
      </c>
      <c r="G14" s="35" t="n">
        <f aca="false">-310.852777777778/2</f>
        <v>-155.426388888889</v>
      </c>
      <c r="I14" s="35"/>
      <c r="J14" s="0" t="n">
        <v>8</v>
      </c>
      <c r="K14" s="0" t="n">
        <v>1</v>
      </c>
      <c r="L14" s="0" t="n">
        <v>1</v>
      </c>
      <c r="M14" s="0" t="n">
        <v>1</v>
      </c>
      <c r="N14" s="35" t="n">
        <f aca="false">-310.852777777778/2</f>
        <v>-155.426388888889</v>
      </c>
    </row>
    <row r="18" customFormat="false" ht="15" hidden="false" customHeight="false" outlineLevel="0" collapsed="false">
      <c r="D18" s="66" t="s">
        <v>81</v>
      </c>
      <c r="E18" s="66"/>
      <c r="F18" s="67"/>
      <c r="K18" s="66" t="s">
        <v>82</v>
      </c>
      <c r="L18" s="66"/>
      <c r="M18" s="67"/>
    </row>
    <row r="20" customFormat="false" ht="12" hidden="false" customHeight="false" outlineLevel="0" collapsed="false">
      <c r="C20" s="0" t="s">
        <v>33</v>
      </c>
      <c r="D20" s="0" t="s">
        <v>28</v>
      </c>
      <c r="E20" s="0" t="s">
        <v>29</v>
      </c>
      <c r="F20" s="0" t="s">
        <v>30</v>
      </c>
      <c r="G20" s="0" t="s">
        <v>31</v>
      </c>
      <c r="J20" s="0" t="s">
        <v>33</v>
      </c>
      <c r="K20" s="0" t="s">
        <v>28</v>
      </c>
      <c r="L20" s="0" t="s">
        <v>29</v>
      </c>
      <c r="M20" s="0" t="s">
        <v>30</v>
      </c>
      <c r="N20" s="0" t="s">
        <v>31</v>
      </c>
    </row>
    <row r="22" customFormat="false" ht="12" hidden="false" customHeight="false" outlineLevel="0" collapsed="false">
      <c r="C22" s="0" t="n">
        <v>1</v>
      </c>
      <c r="D22" s="0" t="n">
        <v>0</v>
      </c>
      <c r="E22" s="0" t="n">
        <v>0</v>
      </c>
      <c r="F22" s="0" t="n">
        <v>0</v>
      </c>
      <c r="G22" s="33" t="n">
        <v>-844.305</v>
      </c>
      <c r="J22" s="0" t="n">
        <v>1</v>
      </c>
      <c r="K22" s="0" t="n">
        <v>0</v>
      </c>
      <c r="L22" s="0" t="n">
        <v>0</v>
      </c>
      <c r="M22" s="0" t="n">
        <v>0</v>
      </c>
      <c r="N22" s="35" t="n">
        <v>-1052.52972222222</v>
      </c>
    </row>
    <row r="23" customFormat="false" ht="12" hidden="false" customHeight="false" outlineLevel="0" collapsed="false">
      <c r="C23" s="0" t="n">
        <v>2</v>
      </c>
      <c r="D23" s="0" t="n">
        <v>1</v>
      </c>
      <c r="E23" s="0" t="n">
        <v>0</v>
      </c>
      <c r="F23" s="0" t="n">
        <v>0</v>
      </c>
      <c r="G23" s="33" t="n">
        <v>-686.146388888889</v>
      </c>
      <c r="J23" s="0" t="n">
        <v>2</v>
      </c>
      <c r="K23" s="0" t="n">
        <v>1</v>
      </c>
      <c r="L23" s="0" t="n">
        <v>0</v>
      </c>
      <c r="M23" s="0" t="n">
        <v>0</v>
      </c>
      <c r="N23" s="35" t="n">
        <v>-686.146388888889</v>
      </c>
    </row>
    <row r="24" customFormat="false" ht="12" hidden="false" customHeight="false" outlineLevel="0" collapsed="false">
      <c r="C24" s="0" t="n">
        <v>3</v>
      </c>
      <c r="D24" s="0" t="n">
        <v>0</v>
      </c>
      <c r="E24" s="0" t="n">
        <v>1</v>
      </c>
      <c r="F24" s="0" t="n">
        <v>0</v>
      </c>
      <c r="G24" s="33" t="n">
        <v>-450.259722222222</v>
      </c>
      <c r="J24" s="0" t="n">
        <v>3</v>
      </c>
      <c r="K24" s="0" t="n">
        <v>0</v>
      </c>
      <c r="L24" s="0" t="n">
        <v>1</v>
      </c>
      <c r="M24" s="0" t="n">
        <v>0</v>
      </c>
      <c r="N24" s="35" t="n">
        <v>-461.952222222222</v>
      </c>
    </row>
    <row r="25" customFormat="false" ht="12" hidden="false" customHeight="false" outlineLevel="0" collapsed="false">
      <c r="C25" s="0" t="n">
        <v>4</v>
      </c>
      <c r="D25" s="0" t="n">
        <v>1</v>
      </c>
      <c r="E25" s="0" t="n">
        <v>1</v>
      </c>
      <c r="F25" s="0" t="n">
        <v>0</v>
      </c>
      <c r="G25" s="33" t="n">
        <v>-444.076944444444</v>
      </c>
      <c r="J25" s="0" t="n">
        <v>4</v>
      </c>
      <c r="K25" s="0" t="n">
        <v>1</v>
      </c>
      <c r="L25" s="0" t="n">
        <v>1</v>
      </c>
      <c r="M25" s="0" t="n">
        <v>0</v>
      </c>
      <c r="N25" s="35" t="n">
        <v>-444.076944444444</v>
      </c>
    </row>
    <row r="26" customFormat="false" ht="12" hidden="false" customHeight="false" outlineLevel="0" collapsed="false">
      <c r="C26" s="0" t="n">
        <v>5</v>
      </c>
      <c r="D26" s="0" t="n">
        <v>0</v>
      </c>
      <c r="E26" s="0" t="n">
        <v>0</v>
      </c>
      <c r="F26" s="0" t="n">
        <v>1</v>
      </c>
      <c r="G26" s="35" t="n">
        <f aca="false">-943.193611111111/2</f>
        <v>-471.596805555556</v>
      </c>
      <c r="I26" s="35"/>
      <c r="J26" s="0" t="n">
        <v>5</v>
      </c>
      <c r="K26" s="0" t="n">
        <v>0</v>
      </c>
      <c r="L26" s="0" t="n">
        <v>0</v>
      </c>
      <c r="M26" s="0" t="n">
        <v>1</v>
      </c>
      <c r="N26" s="35" t="n">
        <v>-523.5</v>
      </c>
    </row>
    <row r="27" customFormat="false" ht="12" hidden="false" customHeight="false" outlineLevel="0" collapsed="false">
      <c r="C27" s="0" t="n">
        <v>6</v>
      </c>
      <c r="D27" s="0" t="n">
        <v>1</v>
      </c>
      <c r="E27" s="0" t="n">
        <v>0</v>
      </c>
      <c r="F27" s="0" t="n">
        <v>1</v>
      </c>
      <c r="G27" s="35" t="n">
        <f aca="false">-804.804166666667/2</f>
        <v>-402.402083333334</v>
      </c>
      <c r="I27" s="35"/>
      <c r="J27" s="0" t="n">
        <v>6</v>
      </c>
      <c r="K27" s="0" t="n">
        <v>1</v>
      </c>
      <c r="L27" s="0" t="n">
        <v>0</v>
      </c>
      <c r="M27" s="0" t="n">
        <v>1</v>
      </c>
      <c r="N27" s="35" t="n">
        <v>-402.5</v>
      </c>
    </row>
    <row r="28" customFormat="false" ht="12" hidden="false" customHeight="false" outlineLevel="0" collapsed="false">
      <c r="C28" s="0" t="n">
        <v>7</v>
      </c>
      <c r="D28" s="0" t="n">
        <v>0</v>
      </c>
      <c r="E28" s="0" t="n">
        <v>1</v>
      </c>
      <c r="F28" s="0" t="n">
        <v>1</v>
      </c>
      <c r="G28" s="35" t="n">
        <f aca="false">-428.742222222222/2</f>
        <v>-214.371111111111</v>
      </c>
      <c r="I28" s="35"/>
      <c r="J28" s="0" t="n">
        <v>7</v>
      </c>
      <c r="K28" s="0" t="n">
        <v>0</v>
      </c>
      <c r="L28" s="0" t="n">
        <v>1</v>
      </c>
      <c r="M28" s="0" t="n">
        <v>1</v>
      </c>
      <c r="N28" s="35" t="n">
        <v>-266</v>
      </c>
    </row>
    <row r="29" customFormat="false" ht="12" hidden="false" customHeight="false" outlineLevel="0" collapsed="false">
      <c r="C29" s="0" t="n">
        <v>8</v>
      </c>
      <c r="D29" s="0" t="n">
        <v>1</v>
      </c>
      <c r="E29" s="0" t="n">
        <v>1</v>
      </c>
      <c r="F29" s="0" t="n">
        <v>1</v>
      </c>
      <c r="G29" s="35" t="n">
        <f aca="false">-380.571944444444/2</f>
        <v>-190.285972222222</v>
      </c>
      <c r="I29" s="35"/>
      <c r="J29" s="0" t="n">
        <v>8</v>
      </c>
      <c r="K29" s="0" t="n">
        <v>1</v>
      </c>
      <c r="L29" s="0" t="n">
        <v>1</v>
      </c>
      <c r="M29" s="0" t="n">
        <v>1</v>
      </c>
      <c r="N29" s="35" t="n">
        <v>-190.5</v>
      </c>
    </row>
    <row r="33" customFormat="false" ht="15" hidden="false" customHeight="false" outlineLevel="0" collapsed="false">
      <c r="D33" s="66" t="s">
        <v>83</v>
      </c>
      <c r="E33" s="66"/>
      <c r="F33" s="67"/>
      <c r="K33" s="66" t="s">
        <v>84</v>
      </c>
      <c r="L33" s="66"/>
      <c r="M33" s="67"/>
    </row>
    <row r="35" customFormat="false" ht="12" hidden="false" customHeight="false" outlineLevel="0" collapsed="false">
      <c r="C35" s="0" t="s">
        <v>33</v>
      </c>
      <c r="D35" s="0" t="s">
        <v>28</v>
      </c>
      <c r="E35" s="0" t="s">
        <v>29</v>
      </c>
      <c r="F35" s="0" t="s">
        <v>30</v>
      </c>
      <c r="G35" s="0" t="s">
        <v>31</v>
      </c>
      <c r="J35" s="0" t="s">
        <v>33</v>
      </c>
      <c r="K35" s="0" t="s">
        <v>28</v>
      </c>
      <c r="L35" s="0" t="s">
        <v>29</v>
      </c>
      <c r="M35" s="0" t="s">
        <v>30</v>
      </c>
      <c r="N35" s="0" t="s">
        <v>31</v>
      </c>
    </row>
    <row r="37" customFormat="false" ht="12" hidden="false" customHeight="false" outlineLevel="0" collapsed="false">
      <c r="C37" s="0" t="n">
        <v>1</v>
      </c>
      <c r="D37" s="0" t="n">
        <v>0</v>
      </c>
      <c r="E37" s="0" t="n">
        <v>0</v>
      </c>
      <c r="F37" s="0" t="n">
        <v>0</v>
      </c>
      <c r="G37" s="33" t="n">
        <v>-1052.52972222222</v>
      </c>
      <c r="J37" s="0" t="n">
        <v>1</v>
      </c>
      <c r="K37" s="0" t="n">
        <v>0</v>
      </c>
      <c r="L37" s="0" t="n">
        <v>0</v>
      </c>
      <c r="M37" s="0" t="n">
        <v>0</v>
      </c>
      <c r="N37" s="35" t="n">
        <v>-1229.14972222222</v>
      </c>
    </row>
    <row r="38" customFormat="false" ht="12" hidden="false" customHeight="false" outlineLevel="0" collapsed="false">
      <c r="C38" s="0" t="n">
        <v>2</v>
      </c>
      <c r="D38" s="0" t="n">
        <v>1</v>
      </c>
      <c r="E38" s="0" t="n">
        <v>0</v>
      </c>
      <c r="F38" s="0" t="n">
        <v>0</v>
      </c>
      <c r="G38" s="33" t="n">
        <v>-844.305</v>
      </c>
      <c r="J38" s="0" t="n">
        <v>2</v>
      </c>
      <c r="K38" s="0" t="n">
        <v>1</v>
      </c>
      <c r="L38" s="0" t="n">
        <v>0</v>
      </c>
      <c r="M38" s="0" t="n">
        <v>0</v>
      </c>
      <c r="N38" s="35" t="n">
        <v>-844.305</v>
      </c>
    </row>
    <row r="39" customFormat="false" ht="12" hidden="false" customHeight="false" outlineLevel="0" collapsed="false">
      <c r="C39" s="0" t="n">
        <v>3</v>
      </c>
      <c r="D39" s="0" t="n">
        <v>0</v>
      </c>
      <c r="E39" s="0" t="n">
        <v>1</v>
      </c>
      <c r="F39" s="0" t="n">
        <v>0</v>
      </c>
      <c r="G39" s="33" t="n">
        <v>-461.952222222222</v>
      </c>
      <c r="J39" s="0" t="n">
        <v>3</v>
      </c>
      <c r="K39" s="0" t="n">
        <v>0</v>
      </c>
      <c r="L39" s="0" t="n">
        <v>1</v>
      </c>
      <c r="M39" s="0" t="n">
        <v>0</v>
      </c>
      <c r="N39" s="35" t="n">
        <v>-553.966944444444</v>
      </c>
    </row>
    <row r="40" customFormat="false" ht="12" hidden="false" customHeight="false" outlineLevel="0" collapsed="false">
      <c r="C40" s="0" t="n">
        <v>4</v>
      </c>
      <c r="D40" s="0" t="n">
        <v>1</v>
      </c>
      <c r="E40" s="0" t="n">
        <v>1</v>
      </c>
      <c r="F40" s="0" t="n">
        <v>0</v>
      </c>
      <c r="G40" s="33" t="n">
        <v>-450.259722222222</v>
      </c>
      <c r="J40" s="0" t="n">
        <v>4</v>
      </c>
      <c r="K40" s="0" t="n">
        <v>1</v>
      </c>
      <c r="L40" s="0" t="n">
        <v>1</v>
      </c>
      <c r="M40" s="0" t="n">
        <v>0</v>
      </c>
      <c r="N40" s="35" t="n">
        <v>-450.259722222222</v>
      </c>
    </row>
    <row r="41" customFormat="false" ht="12" hidden="false" customHeight="false" outlineLevel="0" collapsed="false">
      <c r="C41" s="0" t="n">
        <v>5</v>
      </c>
      <c r="D41" s="0" t="n">
        <v>0</v>
      </c>
      <c r="E41" s="0" t="n">
        <v>0</v>
      </c>
      <c r="F41" s="0" t="n">
        <v>1</v>
      </c>
      <c r="G41" s="35" t="n">
        <f aca="false">-1047.28527777778/2</f>
        <v>-523.64263888889</v>
      </c>
      <c r="J41" s="0" t="n">
        <v>5</v>
      </c>
      <c r="K41" s="0" t="n">
        <v>0</v>
      </c>
      <c r="L41" s="0" t="n">
        <v>0</v>
      </c>
      <c r="M41" s="0" t="n">
        <v>1</v>
      </c>
      <c r="N41" s="35" t="n">
        <v>-594</v>
      </c>
    </row>
    <row r="42" customFormat="false" ht="12" hidden="false" customHeight="false" outlineLevel="0" collapsed="false">
      <c r="C42" s="0" t="n">
        <v>6</v>
      </c>
      <c r="D42" s="0" t="n">
        <v>1</v>
      </c>
      <c r="E42" s="0" t="n">
        <v>0</v>
      </c>
      <c r="F42" s="0" t="n">
        <v>1</v>
      </c>
      <c r="G42" s="35" t="n">
        <f aca="false">-943.193611111111/2</f>
        <v>-471.596805555556</v>
      </c>
      <c r="J42" s="0" t="n">
        <v>6</v>
      </c>
      <c r="K42" s="0" t="n">
        <v>1</v>
      </c>
      <c r="L42" s="0" t="n">
        <v>0</v>
      </c>
      <c r="M42" s="0" t="n">
        <v>1</v>
      </c>
      <c r="N42" s="35" t="n">
        <v>-471.5</v>
      </c>
    </row>
    <row r="43" customFormat="false" ht="12" hidden="false" customHeight="false" outlineLevel="0" collapsed="false">
      <c r="C43" s="0" t="n">
        <v>7</v>
      </c>
      <c r="D43" s="0" t="n">
        <v>0</v>
      </c>
      <c r="E43" s="0" t="n">
        <v>1</v>
      </c>
      <c r="F43" s="0" t="n">
        <v>1</v>
      </c>
      <c r="G43" s="35" t="n">
        <f aca="false">-531.846666666667/2</f>
        <v>-265.923333333334</v>
      </c>
      <c r="J43" s="0" t="n">
        <v>7</v>
      </c>
      <c r="K43" s="0" t="n">
        <v>0</v>
      </c>
      <c r="L43" s="0" t="n">
        <v>1</v>
      </c>
      <c r="M43" s="0" t="n">
        <v>1</v>
      </c>
      <c r="N43" s="35" t="n">
        <v>-275.5</v>
      </c>
    </row>
    <row r="44" customFormat="false" ht="12" hidden="false" customHeight="false" outlineLevel="0" collapsed="false">
      <c r="C44" s="0" t="n">
        <v>8</v>
      </c>
      <c r="D44" s="0" t="n">
        <v>1</v>
      </c>
      <c r="E44" s="0" t="n">
        <v>1</v>
      </c>
      <c r="F44" s="0" t="n">
        <v>1</v>
      </c>
      <c r="G44" s="35" t="n">
        <f aca="false">-428.742222222222/2</f>
        <v>-214.371111111111</v>
      </c>
      <c r="J44" s="0" t="n">
        <v>8</v>
      </c>
      <c r="K44" s="0" t="n">
        <v>1</v>
      </c>
      <c r="L44" s="0" t="n">
        <v>1</v>
      </c>
      <c r="M44" s="0" t="n">
        <v>1</v>
      </c>
      <c r="N44" s="35" t="n">
        <v>-214.5</v>
      </c>
    </row>
    <row r="48" customFormat="false" ht="15" hidden="false" customHeight="false" outlineLevel="0" collapsed="false">
      <c r="D48" s="66" t="s">
        <v>85</v>
      </c>
      <c r="E48" s="66"/>
      <c r="F48" s="67"/>
      <c r="K48" s="66" t="s">
        <v>86</v>
      </c>
      <c r="L48" s="66"/>
      <c r="M48" s="67"/>
    </row>
    <row r="50" customFormat="false" ht="12" hidden="false" customHeight="false" outlineLevel="0" collapsed="false">
      <c r="C50" s="0" t="s">
        <v>33</v>
      </c>
      <c r="D50" s="0" t="s">
        <v>28</v>
      </c>
      <c r="E50" s="0" t="s">
        <v>29</v>
      </c>
      <c r="F50" s="0" t="s">
        <v>30</v>
      </c>
      <c r="G50" s="0" t="s">
        <v>31</v>
      </c>
      <c r="J50" s="0" t="s">
        <v>33</v>
      </c>
      <c r="K50" s="0" t="s">
        <v>28</v>
      </c>
      <c r="L50" s="0" t="s">
        <v>29</v>
      </c>
      <c r="M50" s="0" t="s">
        <v>30</v>
      </c>
      <c r="N50" s="0" t="s">
        <v>31</v>
      </c>
    </row>
    <row r="52" customFormat="false" ht="12" hidden="false" customHeight="false" outlineLevel="0" collapsed="false">
      <c r="C52" s="0" t="n">
        <v>1</v>
      </c>
      <c r="D52" s="0" t="n">
        <v>0</v>
      </c>
      <c r="E52" s="0" t="n">
        <v>0</v>
      </c>
      <c r="F52" s="0" t="n">
        <v>0</v>
      </c>
      <c r="G52" s="33" t="n">
        <v>-1229.14972222222</v>
      </c>
      <c r="J52" s="0" t="n">
        <v>1</v>
      </c>
      <c r="K52" s="0" t="n">
        <v>0</v>
      </c>
      <c r="L52" s="0" t="n">
        <v>0</v>
      </c>
      <c r="M52" s="0" t="n">
        <v>0</v>
      </c>
      <c r="N52" s="35" t="n">
        <v>-1366.89944444444</v>
      </c>
    </row>
    <row r="53" customFormat="false" ht="12" hidden="false" customHeight="false" outlineLevel="0" collapsed="false">
      <c r="C53" s="0" t="n">
        <v>2</v>
      </c>
      <c r="D53" s="0" t="n">
        <v>1</v>
      </c>
      <c r="E53" s="0" t="n">
        <v>0</v>
      </c>
      <c r="F53" s="0" t="n">
        <v>0</v>
      </c>
      <c r="G53" s="33" t="n">
        <v>-1052.52972222222</v>
      </c>
      <c r="J53" s="0" t="n">
        <v>2</v>
      </c>
      <c r="K53" s="0" t="n">
        <v>1</v>
      </c>
      <c r="L53" s="0" t="n">
        <v>0</v>
      </c>
      <c r="M53" s="0" t="n">
        <v>0</v>
      </c>
      <c r="N53" s="35" t="n">
        <v>-1052.52972222222</v>
      </c>
    </row>
    <row r="54" customFormat="false" ht="12" hidden="false" customHeight="false" outlineLevel="0" collapsed="false">
      <c r="C54" s="0" t="n">
        <v>3</v>
      </c>
      <c r="D54" s="0" t="n">
        <v>0</v>
      </c>
      <c r="E54" s="0" t="n">
        <v>1</v>
      </c>
      <c r="F54" s="0" t="n">
        <v>0</v>
      </c>
      <c r="G54" s="33" t="n">
        <v>-553.966944444444</v>
      </c>
      <c r="J54" s="0" t="n">
        <v>3</v>
      </c>
      <c r="K54" s="0" t="n">
        <v>0</v>
      </c>
      <c r="L54" s="0" t="n">
        <v>1</v>
      </c>
      <c r="M54" s="0" t="n">
        <v>0</v>
      </c>
      <c r="N54" s="35" t="n">
        <v>-731.248055555556</v>
      </c>
    </row>
    <row r="55" customFormat="false" ht="12" hidden="false" customHeight="false" outlineLevel="0" collapsed="false">
      <c r="C55" s="0" t="n">
        <v>4</v>
      </c>
      <c r="D55" s="0" t="n">
        <v>1</v>
      </c>
      <c r="E55" s="0" t="n">
        <v>1</v>
      </c>
      <c r="F55" s="0" t="n">
        <v>0</v>
      </c>
      <c r="G55" s="33" t="n">
        <v>-461.952222222222</v>
      </c>
      <c r="J55" s="0" t="n">
        <v>4</v>
      </c>
      <c r="K55" s="0" t="n">
        <v>1</v>
      </c>
      <c r="L55" s="0" t="n">
        <v>1</v>
      </c>
      <c r="M55" s="0" t="n">
        <v>0</v>
      </c>
      <c r="N55" s="35" t="n">
        <v>-461.952222222222</v>
      </c>
    </row>
    <row r="56" customFormat="false" ht="12" hidden="false" customHeight="false" outlineLevel="0" collapsed="false">
      <c r="C56" s="0" t="n">
        <v>5</v>
      </c>
      <c r="D56" s="0" t="n">
        <v>0</v>
      </c>
      <c r="E56" s="0" t="n">
        <v>0</v>
      </c>
      <c r="F56" s="0" t="n">
        <v>1</v>
      </c>
      <c r="G56" s="35" t="n">
        <f aca="false">-1187.92027777778/2</f>
        <v>-593.96013888889</v>
      </c>
      <c r="J56" s="0" t="n">
        <v>5</v>
      </c>
      <c r="K56" s="0" t="n">
        <v>0</v>
      </c>
      <c r="L56" s="0" t="n">
        <v>0</v>
      </c>
      <c r="M56" s="0" t="n">
        <v>1</v>
      </c>
      <c r="N56" s="35" t="n">
        <v>-632</v>
      </c>
    </row>
    <row r="57" customFormat="false" ht="12" hidden="false" customHeight="false" outlineLevel="0" collapsed="false">
      <c r="C57" s="0" t="n">
        <v>6</v>
      </c>
      <c r="D57" s="0" t="n">
        <v>1</v>
      </c>
      <c r="E57" s="0" t="n">
        <v>0</v>
      </c>
      <c r="F57" s="0" t="n">
        <v>1</v>
      </c>
      <c r="G57" s="35" t="n">
        <f aca="false">-1047.28527777778/2</f>
        <v>-523.64263888889</v>
      </c>
      <c r="J57" s="0" t="n">
        <v>6</v>
      </c>
      <c r="K57" s="0" t="n">
        <v>1</v>
      </c>
      <c r="L57" s="0" t="n">
        <v>0</v>
      </c>
      <c r="M57" s="0" t="n">
        <v>1</v>
      </c>
      <c r="N57" s="35" t="n">
        <v>-523.5</v>
      </c>
    </row>
    <row r="58" customFormat="false" ht="12" hidden="false" customHeight="false" outlineLevel="0" collapsed="false">
      <c r="C58" s="0" t="n">
        <v>7</v>
      </c>
      <c r="D58" s="0" t="n">
        <v>0</v>
      </c>
      <c r="E58" s="0" t="n">
        <v>1</v>
      </c>
      <c r="F58" s="0" t="n">
        <v>1</v>
      </c>
      <c r="G58" s="35" t="n">
        <f aca="false">-550.516388888889/2</f>
        <v>-275.258194444445</v>
      </c>
      <c r="J58" s="0" t="n">
        <v>7</v>
      </c>
      <c r="K58" s="0" t="n">
        <v>0</v>
      </c>
      <c r="L58" s="0" t="n">
        <v>1</v>
      </c>
      <c r="M58" s="0" t="n">
        <v>1</v>
      </c>
      <c r="N58" s="35" t="n">
        <v>-324</v>
      </c>
    </row>
    <row r="59" customFormat="false" ht="12" hidden="false" customHeight="false" outlineLevel="0" collapsed="false">
      <c r="C59" s="0" t="n">
        <v>8</v>
      </c>
      <c r="D59" s="0" t="n">
        <v>1</v>
      </c>
      <c r="E59" s="0" t="n">
        <v>1</v>
      </c>
      <c r="F59" s="0" t="n">
        <v>1</v>
      </c>
      <c r="G59" s="35" t="n">
        <f aca="false">-531.846666666667/2</f>
        <v>-265.923333333334</v>
      </c>
      <c r="J59" s="0" t="n">
        <v>8</v>
      </c>
      <c r="K59" s="0" t="n">
        <v>1</v>
      </c>
      <c r="L59" s="0" t="n">
        <v>1</v>
      </c>
      <c r="M59" s="0" t="n">
        <v>1</v>
      </c>
      <c r="N59" s="35" t="n">
        <v>-266</v>
      </c>
    </row>
    <row r="63" customFormat="false" ht="15" hidden="false" customHeight="false" outlineLevel="0" collapsed="false">
      <c r="D63" s="66" t="s">
        <v>87</v>
      </c>
      <c r="E63" s="66"/>
      <c r="F63" s="67"/>
    </row>
    <row r="65" customFormat="false" ht="12" hidden="false" customHeight="false" outlineLevel="0" collapsed="false">
      <c r="C65" s="0" t="s">
        <v>33</v>
      </c>
      <c r="D65" s="0" t="s">
        <v>28</v>
      </c>
      <c r="E65" s="0" t="s">
        <v>29</v>
      </c>
      <c r="F65" s="0" t="s">
        <v>30</v>
      </c>
      <c r="G65" s="0" t="s">
        <v>31</v>
      </c>
    </row>
    <row r="67" customFormat="false" ht="12" hidden="false" customHeight="false" outlineLevel="0" collapsed="false">
      <c r="C67" s="0" t="n">
        <v>1</v>
      </c>
      <c r="D67" s="0" t="n">
        <v>0</v>
      </c>
      <c r="E67" s="0" t="n">
        <v>0</v>
      </c>
      <c r="F67" s="0" t="n">
        <v>0</v>
      </c>
      <c r="G67" s="33" t="n">
        <v>-1366.89944444444</v>
      </c>
    </row>
    <row r="68" customFormat="false" ht="12" hidden="false" customHeight="false" outlineLevel="0" collapsed="false">
      <c r="C68" s="0" t="n">
        <v>2</v>
      </c>
      <c r="D68" s="0" t="n">
        <v>1</v>
      </c>
      <c r="E68" s="0" t="n">
        <v>0</v>
      </c>
      <c r="F68" s="0" t="n">
        <v>0</v>
      </c>
      <c r="G68" s="33" t="n">
        <v>-1229.14972222222</v>
      </c>
    </row>
    <row r="69" customFormat="false" ht="12" hidden="false" customHeight="false" outlineLevel="0" collapsed="false">
      <c r="C69" s="0" t="n">
        <v>3</v>
      </c>
      <c r="D69" s="0" t="n">
        <v>0</v>
      </c>
      <c r="E69" s="0" t="n">
        <v>1</v>
      </c>
      <c r="F69" s="0" t="n">
        <v>0</v>
      </c>
      <c r="G69" s="33" t="n">
        <v>-731.248055555556</v>
      </c>
    </row>
    <row r="70" customFormat="false" ht="12" hidden="false" customHeight="false" outlineLevel="0" collapsed="false">
      <c r="C70" s="0" t="n">
        <v>4</v>
      </c>
      <c r="D70" s="0" t="n">
        <v>1</v>
      </c>
      <c r="E70" s="0" t="n">
        <v>1</v>
      </c>
      <c r="F70" s="0" t="n">
        <v>0</v>
      </c>
      <c r="G70" s="33" t="n">
        <v>-553.966944444444</v>
      </c>
    </row>
    <row r="71" customFormat="false" ht="12" hidden="false" customHeight="false" outlineLevel="0" collapsed="false">
      <c r="C71" s="0" t="n">
        <v>5</v>
      </c>
      <c r="D71" s="0" t="n">
        <v>0</v>
      </c>
      <c r="E71" s="0" t="n">
        <v>0</v>
      </c>
      <c r="F71" s="0" t="n">
        <v>1</v>
      </c>
      <c r="G71" s="35" t="n">
        <f aca="false">-1264.19222222222/2</f>
        <v>-632.09611111111</v>
      </c>
    </row>
    <row r="72" customFormat="false" ht="12" hidden="false" customHeight="false" outlineLevel="0" collapsed="false">
      <c r="C72" s="0" t="n">
        <v>6</v>
      </c>
      <c r="D72" s="0" t="n">
        <v>1</v>
      </c>
      <c r="E72" s="0" t="n">
        <v>0</v>
      </c>
      <c r="F72" s="0" t="n">
        <v>1</v>
      </c>
      <c r="G72" s="35" t="n">
        <f aca="false">-1187.92027777778/2</f>
        <v>-593.96013888889</v>
      </c>
    </row>
    <row r="73" customFormat="false" ht="12" hidden="false" customHeight="false" outlineLevel="0" collapsed="false">
      <c r="C73" s="0" t="n">
        <v>7</v>
      </c>
      <c r="D73" s="0" t="n">
        <v>0</v>
      </c>
      <c r="E73" s="0" t="n">
        <v>1</v>
      </c>
      <c r="F73" s="0" t="n">
        <v>1</v>
      </c>
      <c r="G73" s="35" t="n">
        <f aca="false">-647.699444444444/2</f>
        <v>-323.849722222222</v>
      </c>
    </row>
    <row r="74" customFormat="false" ht="12" hidden="false" customHeight="false" outlineLevel="0" collapsed="false">
      <c r="C74" s="0" t="n">
        <v>8</v>
      </c>
      <c r="D74" s="0" t="n">
        <v>1</v>
      </c>
      <c r="E74" s="0" t="n">
        <v>1</v>
      </c>
      <c r="F74" s="0" t="n">
        <v>1</v>
      </c>
      <c r="G74" s="35" t="n">
        <f aca="false">-550.516388888889/2</f>
        <v>-275.258194444445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9:N80"/>
  <sheetViews>
    <sheetView showFormulas="false" showGridLines="true" showRowColHeaders="true" showZeros="true" rightToLeft="false" tabSelected="false" showOutlineSymbols="true" defaultGridColor="true" view="normal" topLeftCell="B7" colorId="64" zoomScale="100" zoomScaleNormal="100" zoomScalePageLayoutView="100" workbookViewId="0">
      <selection pane="topLeft" activeCell="C11" activeCellId="0" sqref="C11:G20"/>
    </sheetView>
  </sheetViews>
  <sheetFormatPr defaultColWidth="11.0546875" defaultRowHeight="12" customHeight="false" zeroHeight="false" outlineLevelRow="0" outlineLevelCol="0"/>
  <sheetData>
    <row r="9" customFormat="false" ht="15" hidden="false" customHeight="false" outlineLevel="0" collapsed="false">
      <c r="D9" s="66" t="s">
        <v>88</v>
      </c>
      <c r="E9" s="66"/>
      <c r="F9" s="67"/>
      <c r="K9" s="66" t="s">
        <v>89</v>
      </c>
      <c r="L9" s="66"/>
      <c r="M9" s="67"/>
    </row>
    <row r="11" customFormat="false" ht="12" hidden="false" customHeight="false" outlineLevel="0" collapsed="false">
      <c r="C11" s="0" t="s">
        <v>33</v>
      </c>
      <c r="D11" s="0" t="s">
        <v>28</v>
      </c>
      <c r="E11" s="0" t="s">
        <v>29</v>
      </c>
      <c r="F11" s="0" t="s">
        <v>30</v>
      </c>
      <c r="G11" s="0" t="s">
        <v>31</v>
      </c>
      <c r="J11" s="0" t="s">
        <v>33</v>
      </c>
      <c r="K11" s="0" t="s">
        <v>28</v>
      </c>
      <c r="L11" s="0" t="s">
        <v>29</v>
      </c>
      <c r="M11" s="0" t="s">
        <v>30</v>
      </c>
      <c r="N11" s="0" t="s">
        <v>31</v>
      </c>
    </row>
    <row r="13" customFormat="false" ht="12" hidden="false" customHeight="false" outlineLevel="0" collapsed="false">
      <c r="C13" s="0" t="n">
        <v>1</v>
      </c>
      <c r="D13" s="0" t="n">
        <v>0</v>
      </c>
      <c r="E13" s="0" t="n">
        <v>0</v>
      </c>
      <c r="F13" s="0" t="n">
        <v>0</v>
      </c>
      <c r="G13" s="35" t="n">
        <v>-1108.76555555556</v>
      </c>
      <c r="J13" s="0" t="n">
        <v>1</v>
      </c>
      <c r="K13" s="0" t="n">
        <v>0</v>
      </c>
      <c r="L13" s="0" t="n">
        <v>0</v>
      </c>
      <c r="M13" s="0" t="n">
        <v>0</v>
      </c>
      <c r="N13" s="35" t="n">
        <v>-1576</v>
      </c>
    </row>
    <row r="14" customFormat="false" ht="12" hidden="false" customHeight="false" outlineLevel="0" collapsed="false">
      <c r="C14" s="0" t="n">
        <v>2</v>
      </c>
      <c r="D14" s="0" t="n">
        <v>1</v>
      </c>
      <c r="E14" s="0" t="n">
        <v>0</v>
      </c>
      <c r="F14" s="0" t="n">
        <v>0</v>
      </c>
      <c r="G14" s="35" t="n">
        <v>-707.270833333333</v>
      </c>
      <c r="J14" s="0" t="n">
        <v>2</v>
      </c>
      <c r="K14" s="0" t="n">
        <v>1</v>
      </c>
      <c r="L14" s="0" t="n">
        <v>0</v>
      </c>
      <c r="M14" s="0" t="n">
        <v>0</v>
      </c>
      <c r="N14" s="35" t="n">
        <v>-707.270833333333</v>
      </c>
    </row>
    <row r="15" customFormat="false" ht="12" hidden="false" customHeight="false" outlineLevel="0" collapsed="false">
      <c r="C15" s="0" t="n">
        <v>3</v>
      </c>
      <c r="D15" s="0" t="n">
        <v>0</v>
      </c>
      <c r="E15" s="0" t="n">
        <v>1</v>
      </c>
      <c r="F15" s="0" t="n">
        <v>0</v>
      </c>
      <c r="G15" s="35" t="n">
        <v>-980.334722222222</v>
      </c>
      <c r="J15" s="0" t="n">
        <v>3</v>
      </c>
      <c r="K15" s="0" t="n">
        <v>0</v>
      </c>
      <c r="L15" s="0" t="n">
        <v>1</v>
      </c>
      <c r="M15" s="0" t="n">
        <v>0</v>
      </c>
      <c r="N15" s="35" t="n">
        <v>-1549</v>
      </c>
    </row>
    <row r="16" customFormat="false" ht="12" hidden="false" customHeight="false" outlineLevel="0" collapsed="false">
      <c r="C16" s="0" t="n">
        <v>4</v>
      </c>
      <c r="D16" s="0" t="n">
        <v>1</v>
      </c>
      <c r="E16" s="0" t="n">
        <v>1</v>
      </c>
      <c r="F16" s="0" t="n">
        <v>0</v>
      </c>
      <c r="G16" s="35" t="n">
        <v>-624.467777777778</v>
      </c>
      <c r="J16" s="0" t="n">
        <v>4</v>
      </c>
      <c r="K16" s="0" t="n">
        <v>1</v>
      </c>
      <c r="L16" s="0" t="n">
        <v>1</v>
      </c>
      <c r="M16" s="0" t="n">
        <v>0</v>
      </c>
      <c r="N16" s="35" t="n">
        <v>-624.467777777778</v>
      </c>
    </row>
    <row r="17" customFormat="false" ht="12" hidden="false" customHeight="false" outlineLevel="0" collapsed="false">
      <c r="C17" s="0" t="n">
        <v>5</v>
      </c>
      <c r="D17" s="0" t="n">
        <v>0</v>
      </c>
      <c r="E17" s="0" t="n">
        <v>0</v>
      </c>
      <c r="F17" s="0" t="n">
        <v>1</v>
      </c>
      <c r="G17" s="35" t="n">
        <v>-586</v>
      </c>
      <c r="I17" s="35"/>
      <c r="J17" s="0" t="n">
        <v>5</v>
      </c>
      <c r="K17" s="0" t="n">
        <v>0</v>
      </c>
      <c r="L17" s="0" t="n">
        <v>0</v>
      </c>
      <c r="M17" s="0" t="n">
        <v>1</v>
      </c>
      <c r="N17" s="35" t="n">
        <v>-858.5</v>
      </c>
    </row>
    <row r="18" customFormat="false" ht="12" hidden="false" customHeight="false" outlineLevel="0" collapsed="false">
      <c r="C18" s="0" t="n">
        <v>6</v>
      </c>
      <c r="D18" s="0" t="n">
        <v>1</v>
      </c>
      <c r="E18" s="0" t="n">
        <v>0</v>
      </c>
      <c r="F18" s="0" t="n">
        <v>1</v>
      </c>
      <c r="G18" s="35" t="n">
        <v>-541</v>
      </c>
      <c r="I18" s="35"/>
      <c r="J18" s="0" t="n">
        <v>6</v>
      </c>
      <c r="K18" s="0" t="n">
        <v>1</v>
      </c>
      <c r="L18" s="0" t="n">
        <v>0</v>
      </c>
      <c r="M18" s="0" t="n">
        <v>1</v>
      </c>
      <c r="N18" s="35" t="n">
        <v>-541</v>
      </c>
    </row>
    <row r="19" customFormat="false" ht="12" hidden="false" customHeight="false" outlineLevel="0" collapsed="false">
      <c r="C19" s="0" t="n">
        <v>7</v>
      </c>
      <c r="D19" s="0" t="n">
        <v>0</v>
      </c>
      <c r="E19" s="0" t="n">
        <v>1</v>
      </c>
      <c r="F19" s="0" t="n">
        <v>1</v>
      </c>
      <c r="G19" s="35" t="n">
        <v>-393</v>
      </c>
      <c r="I19" s="35"/>
      <c r="J19" s="0" t="n">
        <v>7</v>
      </c>
      <c r="K19" s="0" t="n">
        <v>0</v>
      </c>
      <c r="L19" s="0" t="n">
        <v>1</v>
      </c>
      <c r="M19" s="0" t="n">
        <v>1</v>
      </c>
      <c r="N19" s="35" t="n">
        <v>-714.5</v>
      </c>
    </row>
    <row r="20" customFormat="false" ht="12" hidden="false" customHeight="false" outlineLevel="0" collapsed="false">
      <c r="C20" s="0" t="n">
        <v>8</v>
      </c>
      <c r="D20" s="0" t="n">
        <v>1</v>
      </c>
      <c r="E20" s="0" t="n">
        <v>1</v>
      </c>
      <c r="F20" s="0" t="n">
        <v>1</v>
      </c>
      <c r="G20" s="35" t="n">
        <v>-374.5</v>
      </c>
      <c r="I20" s="35"/>
      <c r="J20" s="0" t="n">
        <v>8</v>
      </c>
      <c r="K20" s="0" t="n">
        <v>1</v>
      </c>
      <c r="L20" s="0" t="n">
        <v>1</v>
      </c>
      <c r="M20" s="0" t="n">
        <v>1</v>
      </c>
      <c r="N20" s="35" t="n">
        <v>-374.5</v>
      </c>
    </row>
    <row r="24" customFormat="false" ht="15" hidden="false" customHeight="false" outlineLevel="0" collapsed="false">
      <c r="D24" s="66" t="s">
        <v>90</v>
      </c>
      <c r="E24" s="66"/>
      <c r="F24" s="67"/>
      <c r="K24" s="66" t="s">
        <v>91</v>
      </c>
      <c r="L24" s="66"/>
      <c r="M24" s="67"/>
    </row>
    <row r="26" customFormat="false" ht="12" hidden="false" customHeight="false" outlineLevel="0" collapsed="false">
      <c r="C26" s="0" t="s">
        <v>33</v>
      </c>
      <c r="D26" s="0" t="s">
        <v>28</v>
      </c>
      <c r="E26" s="0" t="s">
        <v>29</v>
      </c>
      <c r="F26" s="0" t="s">
        <v>30</v>
      </c>
      <c r="G26" s="0" t="s">
        <v>31</v>
      </c>
      <c r="J26" s="0" t="s">
        <v>33</v>
      </c>
      <c r="K26" s="0" t="s">
        <v>28</v>
      </c>
      <c r="L26" s="0" t="s">
        <v>29</v>
      </c>
      <c r="M26" s="0" t="s">
        <v>30</v>
      </c>
      <c r="N26" s="0" t="s">
        <v>31</v>
      </c>
    </row>
    <row r="28" customFormat="false" ht="12" hidden="false" customHeight="false" outlineLevel="0" collapsed="false">
      <c r="C28" s="0" t="n">
        <v>1</v>
      </c>
      <c r="D28" s="0" t="n">
        <v>0</v>
      </c>
      <c r="E28" s="0" t="n">
        <v>0</v>
      </c>
      <c r="F28" s="0" t="n">
        <v>0</v>
      </c>
      <c r="G28" s="35" t="n">
        <v>-1576</v>
      </c>
      <c r="J28" s="0" t="n">
        <v>1</v>
      </c>
      <c r="K28" s="0" t="n">
        <v>0</v>
      </c>
      <c r="L28" s="0" t="n">
        <v>0</v>
      </c>
      <c r="M28" s="0" t="n">
        <v>0</v>
      </c>
      <c r="N28" s="35" t="n">
        <v>-2000.72388888889</v>
      </c>
    </row>
    <row r="29" customFormat="false" ht="12" hidden="false" customHeight="false" outlineLevel="0" collapsed="false">
      <c r="C29" s="0" t="n">
        <v>2</v>
      </c>
      <c r="D29" s="0" t="n">
        <v>1</v>
      </c>
      <c r="E29" s="0" t="n">
        <v>0</v>
      </c>
      <c r="F29" s="0" t="n">
        <v>0</v>
      </c>
      <c r="G29" s="35" t="n">
        <v>-1108.76555555556</v>
      </c>
      <c r="J29" s="0" t="n">
        <v>2</v>
      </c>
      <c r="K29" s="0" t="n">
        <v>1</v>
      </c>
      <c r="L29" s="0" t="n">
        <v>0</v>
      </c>
      <c r="M29" s="0" t="n">
        <v>0</v>
      </c>
      <c r="N29" s="35" t="n">
        <v>-1108.76555555556</v>
      </c>
    </row>
    <row r="30" customFormat="false" ht="12" hidden="false" customHeight="false" outlineLevel="0" collapsed="false">
      <c r="C30" s="0" t="n">
        <v>3</v>
      </c>
      <c r="D30" s="0" t="n">
        <v>0</v>
      </c>
      <c r="E30" s="0" t="n">
        <v>1</v>
      </c>
      <c r="F30" s="0" t="n">
        <v>0</v>
      </c>
      <c r="G30" s="35" t="n">
        <v>-1549</v>
      </c>
      <c r="J30" s="0" t="n">
        <v>3</v>
      </c>
      <c r="K30" s="0" t="n">
        <v>0</v>
      </c>
      <c r="L30" s="0" t="n">
        <v>1</v>
      </c>
      <c r="M30" s="0" t="n">
        <v>0</v>
      </c>
      <c r="N30" s="35" t="n">
        <v>-1927.22861111111</v>
      </c>
    </row>
    <row r="31" customFormat="false" ht="12" hidden="false" customHeight="false" outlineLevel="0" collapsed="false">
      <c r="C31" s="0" t="n">
        <v>4</v>
      </c>
      <c r="D31" s="0" t="n">
        <v>1</v>
      </c>
      <c r="E31" s="0" t="n">
        <v>1</v>
      </c>
      <c r="F31" s="0" t="n">
        <v>0</v>
      </c>
      <c r="G31" s="35" t="n">
        <v>-980.334722222222</v>
      </c>
      <c r="J31" s="0" t="n">
        <v>4</v>
      </c>
      <c r="K31" s="0" t="n">
        <v>1</v>
      </c>
      <c r="L31" s="0" t="n">
        <v>1</v>
      </c>
      <c r="M31" s="0" t="n">
        <v>0</v>
      </c>
      <c r="N31" s="35" t="n">
        <v>-980.334722222222</v>
      </c>
    </row>
    <row r="32" customFormat="false" ht="12" hidden="false" customHeight="false" outlineLevel="0" collapsed="false">
      <c r="C32" s="0" t="n">
        <v>5</v>
      </c>
      <c r="D32" s="0" t="n">
        <v>0</v>
      </c>
      <c r="E32" s="0" t="n">
        <v>0</v>
      </c>
      <c r="F32" s="0" t="n">
        <v>1</v>
      </c>
      <c r="G32" s="35" t="n">
        <v>-858.5</v>
      </c>
      <c r="I32" s="35"/>
      <c r="J32" s="0" t="n">
        <v>5</v>
      </c>
      <c r="K32" s="0" t="n">
        <v>0</v>
      </c>
      <c r="L32" s="0" t="n">
        <v>0</v>
      </c>
      <c r="M32" s="0" t="n">
        <v>1</v>
      </c>
      <c r="N32" s="35" t="n">
        <v>-1021.5</v>
      </c>
    </row>
    <row r="33" customFormat="false" ht="12" hidden="false" customHeight="false" outlineLevel="0" collapsed="false">
      <c r="C33" s="0" t="n">
        <v>6</v>
      </c>
      <c r="D33" s="0" t="n">
        <v>1</v>
      </c>
      <c r="E33" s="0" t="n">
        <v>0</v>
      </c>
      <c r="F33" s="0" t="n">
        <v>1</v>
      </c>
      <c r="G33" s="35" t="n">
        <v>-586</v>
      </c>
      <c r="I33" s="35"/>
      <c r="J33" s="0" t="n">
        <v>6</v>
      </c>
      <c r="K33" s="0" t="n">
        <v>1</v>
      </c>
      <c r="L33" s="0" t="n">
        <v>0</v>
      </c>
      <c r="M33" s="0" t="n">
        <v>1</v>
      </c>
      <c r="N33" s="35" t="n">
        <v>-586</v>
      </c>
    </row>
    <row r="34" customFormat="false" ht="12" hidden="false" customHeight="false" outlineLevel="0" collapsed="false">
      <c r="C34" s="0" t="n">
        <v>7</v>
      </c>
      <c r="D34" s="0" t="n">
        <v>0</v>
      </c>
      <c r="E34" s="0" t="n">
        <v>1</v>
      </c>
      <c r="F34" s="0" t="n">
        <v>1</v>
      </c>
      <c r="G34" s="35" t="n">
        <v>-714.5</v>
      </c>
      <c r="I34" s="35"/>
      <c r="J34" s="0" t="n">
        <v>7</v>
      </c>
      <c r="K34" s="0" t="n">
        <v>0</v>
      </c>
      <c r="L34" s="0" t="n">
        <v>1</v>
      </c>
      <c r="M34" s="0" t="n">
        <v>1</v>
      </c>
      <c r="N34" s="35" t="n">
        <v>-882.5</v>
      </c>
    </row>
    <row r="35" customFormat="false" ht="12" hidden="false" customHeight="false" outlineLevel="0" collapsed="false">
      <c r="C35" s="0" t="n">
        <v>8</v>
      </c>
      <c r="D35" s="0" t="n">
        <v>1</v>
      </c>
      <c r="E35" s="0" t="n">
        <v>1</v>
      </c>
      <c r="F35" s="0" t="n">
        <v>1</v>
      </c>
      <c r="G35" s="35" t="n">
        <v>-393</v>
      </c>
      <c r="I35" s="35"/>
      <c r="J35" s="0" t="n">
        <v>8</v>
      </c>
      <c r="K35" s="0" t="n">
        <v>1</v>
      </c>
      <c r="L35" s="0" t="n">
        <v>1</v>
      </c>
      <c r="M35" s="0" t="n">
        <v>1</v>
      </c>
      <c r="N35" s="35" t="n">
        <v>-394</v>
      </c>
    </row>
    <row r="39" customFormat="false" ht="15" hidden="false" customHeight="false" outlineLevel="0" collapsed="false">
      <c r="D39" s="66" t="s">
        <v>92</v>
      </c>
      <c r="E39" s="66"/>
      <c r="F39" s="67"/>
      <c r="K39" s="66" t="s">
        <v>93</v>
      </c>
      <c r="L39" s="66"/>
      <c r="M39" s="67"/>
    </row>
    <row r="41" customFormat="false" ht="12" hidden="false" customHeight="false" outlineLevel="0" collapsed="false">
      <c r="C41" s="0" t="s">
        <v>33</v>
      </c>
      <c r="D41" s="0" t="s">
        <v>28</v>
      </c>
      <c r="E41" s="0" t="s">
        <v>29</v>
      </c>
      <c r="F41" s="0" t="s">
        <v>30</v>
      </c>
      <c r="G41" s="0" t="s">
        <v>31</v>
      </c>
      <c r="J41" s="0" t="s">
        <v>33</v>
      </c>
      <c r="K41" s="0" t="s">
        <v>28</v>
      </c>
      <c r="L41" s="0" t="s">
        <v>29</v>
      </c>
      <c r="M41" s="0" t="s">
        <v>30</v>
      </c>
      <c r="N41" s="0" t="s">
        <v>31</v>
      </c>
    </row>
    <row r="43" customFormat="false" ht="12" hidden="false" customHeight="false" outlineLevel="0" collapsed="false">
      <c r="C43" s="0" t="n">
        <v>1</v>
      </c>
      <c r="D43" s="0" t="n">
        <v>0</v>
      </c>
      <c r="E43" s="0" t="n">
        <v>0</v>
      </c>
      <c r="F43" s="0" t="n">
        <v>0</v>
      </c>
      <c r="G43" s="35" t="n">
        <v>-2000.72388888889</v>
      </c>
      <c r="J43" s="0" t="n">
        <v>1</v>
      </c>
      <c r="K43" s="0" t="n">
        <v>0</v>
      </c>
      <c r="L43" s="0" t="n">
        <v>0</v>
      </c>
      <c r="M43" s="0" t="n">
        <v>0</v>
      </c>
      <c r="N43" s="35" t="n">
        <v>-2463.81805555556</v>
      </c>
    </row>
    <row r="44" customFormat="false" ht="12" hidden="false" customHeight="false" outlineLevel="0" collapsed="false">
      <c r="C44" s="0" t="n">
        <v>2</v>
      </c>
      <c r="D44" s="0" t="n">
        <v>1</v>
      </c>
      <c r="E44" s="0" t="n">
        <v>0</v>
      </c>
      <c r="F44" s="0" t="n">
        <v>0</v>
      </c>
      <c r="G44" s="35" t="n">
        <v>-1576</v>
      </c>
      <c r="J44" s="0" t="n">
        <v>2</v>
      </c>
      <c r="K44" s="0" t="n">
        <v>1</v>
      </c>
      <c r="L44" s="0" t="n">
        <v>0</v>
      </c>
      <c r="M44" s="0" t="n">
        <v>0</v>
      </c>
      <c r="N44" s="35" t="n">
        <v>-1576</v>
      </c>
    </row>
    <row r="45" customFormat="false" ht="12" hidden="false" customHeight="false" outlineLevel="0" collapsed="false">
      <c r="C45" s="0" t="n">
        <v>3</v>
      </c>
      <c r="D45" s="0" t="n">
        <v>0</v>
      </c>
      <c r="E45" s="0" t="n">
        <v>1</v>
      </c>
      <c r="F45" s="0" t="n">
        <v>0</v>
      </c>
      <c r="G45" s="35" t="n">
        <v>-1927.22861111111</v>
      </c>
      <c r="J45" s="0" t="n">
        <v>3</v>
      </c>
      <c r="K45" s="0" t="n">
        <v>0</v>
      </c>
      <c r="L45" s="0" t="n">
        <v>1</v>
      </c>
      <c r="M45" s="0" t="n">
        <v>0</v>
      </c>
      <c r="N45" s="35" t="n">
        <v>-2311.92527777778</v>
      </c>
    </row>
    <row r="46" customFormat="false" ht="12" hidden="false" customHeight="false" outlineLevel="0" collapsed="false">
      <c r="C46" s="0" t="n">
        <v>4</v>
      </c>
      <c r="D46" s="0" t="n">
        <v>1</v>
      </c>
      <c r="E46" s="0" t="n">
        <v>1</v>
      </c>
      <c r="F46" s="0" t="n">
        <v>0</v>
      </c>
      <c r="G46" s="35" t="n">
        <v>-1549</v>
      </c>
      <c r="J46" s="0" t="n">
        <v>4</v>
      </c>
      <c r="K46" s="0" t="n">
        <v>1</v>
      </c>
      <c r="L46" s="0" t="n">
        <v>1</v>
      </c>
      <c r="M46" s="0" t="n">
        <v>0</v>
      </c>
      <c r="N46" s="35" t="n">
        <v>-1549</v>
      </c>
    </row>
    <row r="47" customFormat="false" ht="12" hidden="false" customHeight="false" outlineLevel="0" collapsed="false">
      <c r="C47" s="0" t="n">
        <v>5</v>
      </c>
      <c r="D47" s="0" t="n">
        <v>0</v>
      </c>
      <c r="E47" s="0" t="n">
        <v>0</v>
      </c>
      <c r="F47" s="0" t="n">
        <v>1</v>
      </c>
      <c r="G47" s="35" t="n">
        <v>-1021.5</v>
      </c>
      <c r="J47" s="0" t="n">
        <v>5</v>
      </c>
      <c r="K47" s="0" t="n">
        <v>0</v>
      </c>
      <c r="L47" s="0" t="n">
        <v>0</v>
      </c>
      <c r="M47" s="0" t="n">
        <v>1</v>
      </c>
      <c r="N47" s="35" t="n">
        <v>-1178</v>
      </c>
    </row>
    <row r="48" customFormat="false" ht="12" hidden="false" customHeight="false" outlineLevel="0" collapsed="false">
      <c r="C48" s="0" t="n">
        <v>6</v>
      </c>
      <c r="D48" s="0" t="n">
        <v>1</v>
      </c>
      <c r="E48" s="0" t="n">
        <v>0</v>
      </c>
      <c r="F48" s="0" t="n">
        <v>1</v>
      </c>
      <c r="G48" s="35" t="n">
        <v>-858.5</v>
      </c>
      <c r="J48" s="0" t="n">
        <v>6</v>
      </c>
      <c r="K48" s="0" t="n">
        <v>1</v>
      </c>
      <c r="L48" s="0" t="n">
        <v>0</v>
      </c>
      <c r="M48" s="0" t="n">
        <v>1</v>
      </c>
      <c r="N48" s="35" t="n">
        <v>-858.5</v>
      </c>
    </row>
    <row r="49" customFormat="false" ht="12" hidden="false" customHeight="false" outlineLevel="0" collapsed="false">
      <c r="C49" s="0" t="n">
        <v>7</v>
      </c>
      <c r="D49" s="0" t="n">
        <v>0</v>
      </c>
      <c r="E49" s="0" t="n">
        <v>1</v>
      </c>
      <c r="F49" s="0" t="n">
        <v>1</v>
      </c>
      <c r="G49" s="35" t="n">
        <v>-882.5</v>
      </c>
      <c r="J49" s="0" t="n">
        <v>7</v>
      </c>
      <c r="K49" s="0" t="n">
        <v>0</v>
      </c>
      <c r="L49" s="0" t="n">
        <v>1</v>
      </c>
      <c r="M49" s="0" t="n">
        <v>1</v>
      </c>
      <c r="N49" s="35" t="n">
        <v>-1053.5</v>
      </c>
    </row>
    <row r="50" customFormat="false" ht="12" hidden="false" customHeight="false" outlineLevel="0" collapsed="false">
      <c r="C50" s="0" t="n">
        <v>8</v>
      </c>
      <c r="D50" s="0" t="n">
        <v>1</v>
      </c>
      <c r="E50" s="0" t="n">
        <v>1</v>
      </c>
      <c r="F50" s="0" t="n">
        <v>1</v>
      </c>
      <c r="G50" s="35" t="n">
        <v>-714.5</v>
      </c>
      <c r="J50" s="0" t="n">
        <v>8</v>
      </c>
      <c r="K50" s="0" t="n">
        <v>1</v>
      </c>
      <c r="L50" s="0" t="n">
        <v>1</v>
      </c>
      <c r="M50" s="0" t="n">
        <v>1</v>
      </c>
      <c r="N50" s="35" t="n">
        <v>-714.5</v>
      </c>
    </row>
    <row r="54" customFormat="false" ht="15" hidden="false" customHeight="false" outlineLevel="0" collapsed="false">
      <c r="D54" s="66" t="s">
        <v>94</v>
      </c>
      <c r="E54" s="66"/>
      <c r="F54" s="67"/>
      <c r="K54" s="66" t="s">
        <v>95</v>
      </c>
      <c r="L54" s="66"/>
      <c r="M54" s="67"/>
    </row>
    <row r="56" customFormat="false" ht="12" hidden="false" customHeight="false" outlineLevel="0" collapsed="false">
      <c r="C56" s="0" t="s">
        <v>33</v>
      </c>
      <c r="D56" s="0" t="s">
        <v>28</v>
      </c>
      <c r="E56" s="0" t="s">
        <v>29</v>
      </c>
      <c r="F56" s="0" t="s">
        <v>30</v>
      </c>
      <c r="G56" s="0" t="s">
        <v>31</v>
      </c>
      <c r="J56" s="0" t="s">
        <v>33</v>
      </c>
      <c r="K56" s="0" t="s">
        <v>28</v>
      </c>
      <c r="L56" s="0" t="s">
        <v>29</v>
      </c>
      <c r="M56" s="0" t="s">
        <v>30</v>
      </c>
      <c r="N56" s="0" t="s">
        <v>31</v>
      </c>
    </row>
    <row r="58" customFormat="false" ht="12" hidden="false" customHeight="false" outlineLevel="0" collapsed="false">
      <c r="C58" s="0" t="n">
        <v>1</v>
      </c>
      <c r="D58" s="0" t="n">
        <v>0</v>
      </c>
      <c r="E58" s="0" t="n">
        <v>0</v>
      </c>
      <c r="F58" s="0" t="n">
        <v>0</v>
      </c>
      <c r="G58" s="35" t="n">
        <v>-2463.81805555556</v>
      </c>
      <c r="J58" s="0" t="n">
        <v>1</v>
      </c>
      <c r="K58" s="0" t="n">
        <v>0</v>
      </c>
      <c r="L58" s="0" t="n">
        <v>0</v>
      </c>
      <c r="M58" s="0" t="n">
        <v>0</v>
      </c>
      <c r="N58" s="35" t="n">
        <v>-2865.21944444445</v>
      </c>
    </row>
    <row r="59" customFormat="false" ht="12" hidden="false" customHeight="false" outlineLevel="0" collapsed="false">
      <c r="C59" s="0" t="n">
        <v>2</v>
      </c>
      <c r="D59" s="0" t="n">
        <v>1</v>
      </c>
      <c r="E59" s="0" t="n">
        <v>0</v>
      </c>
      <c r="F59" s="0" t="n">
        <v>0</v>
      </c>
      <c r="G59" s="35" t="n">
        <v>-2000.72388888889</v>
      </c>
      <c r="J59" s="0" t="n">
        <v>2</v>
      </c>
      <c r="K59" s="0" t="n">
        <v>1</v>
      </c>
      <c r="L59" s="0" t="n">
        <v>0</v>
      </c>
      <c r="M59" s="0" t="n">
        <v>0</v>
      </c>
      <c r="N59" s="35" t="n">
        <v>-2000.72388888889</v>
      </c>
    </row>
    <row r="60" customFormat="false" ht="12" hidden="false" customHeight="false" outlineLevel="0" collapsed="false">
      <c r="C60" s="0" t="n">
        <v>3</v>
      </c>
      <c r="D60" s="0" t="n">
        <v>0</v>
      </c>
      <c r="E60" s="0" t="n">
        <v>1</v>
      </c>
      <c r="F60" s="0" t="n">
        <v>0</v>
      </c>
      <c r="G60" s="35" t="n">
        <v>-2311.92527777778</v>
      </c>
      <c r="J60" s="0" t="n">
        <v>3</v>
      </c>
      <c r="K60" s="0" t="n">
        <v>0</v>
      </c>
      <c r="L60" s="0" t="n">
        <v>1</v>
      </c>
      <c r="M60" s="0" t="n">
        <v>0</v>
      </c>
      <c r="N60" s="35" t="n">
        <v>-2679.05166666667</v>
      </c>
    </row>
    <row r="61" customFormat="false" ht="12" hidden="false" customHeight="false" outlineLevel="0" collapsed="false">
      <c r="C61" s="0" t="n">
        <v>4</v>
      </c>
      <c r="D61" s="0" t="n">
        <v>1</v>
      </c>
      <c r="E61" s="0" t="n">
        <v>1</v>
      </c>
      <c r="F61" s="0" t="n">
        <v>0</v>
      </c>
      <c r="G61" s="35" t="n">
        <v>-1927.22861111111</v>
      </c>
      <c r="J61" s="0" t="n">
        <v>4</v>
      </c>
      <c r="K61" s="0" t="n">
        <v>1</v>
      </c>
      <c r="L61" s="0" t="n">
        <v>1</v>
      </c>
      <c r="M61" s="0" t="n">
        <v>0</v>
      </c>
      <c r="N61" s="35" t="n">
        <v>-1927.22861111111</v>
      </c>
    </row>
    <row r="62" customFormat="false" ht="12" hidden="false" customHeight="false" outlineLevel="0" collapsed="false">
      <c r="C62" s="0" t="n">
        <v>5</v>
      </c>
      <c r="D62" s="0" t="n">
        <v>0</v>
      </c>
      <c r="E62" s="0" t="n">
        <v>0</v>
      </c>
      <c r="F62" s="0" t="n">
        <v>1</v>
      </c>
      <c r="G62" s="35" t="n">
        <v>-1178</v>
      </c>
      <c r="J62" s="0" t="n">
        <v>5</v>
      </c>
      <c r="K62" s="0" t="n">
        <v>0</v>
      </c>
      <c r="L62" s="0" t="n">
        <v>0</v>
      </c>
      <c r="M62" s="0" t="n">
        <v>1</v>
      </c>
      <c r="N62" s="35" t="n">
        <v>-1344.5</v>
      </c>
    </row>
    <row r="63" customFormat="false" ht="12" hidden="false" customHeight="false" outlineLevel="0" collapsed="false">
      <c r="C63" s="0" t="n">
        <v>6</v>
      </c>
      <c r="D63" s="0" t="n">
        <v>1</v>
      </c>
      <c r="E63" s="0" t="n">
        <v>0</v>
      </c>
      <c r="F63" s="0" t="n">
        <v>1</v>
      </c>
      <c r="G63" s="35" t="n">
        <v>-1021.5</v>
      </c>
      <c r="J63" s="0" t="n">
        <v>6</v>
      </c>
      <c r="K63" s="0" t="n">
        <v>1</v>
      </c>
      <c r="L63" s="0" t="n">
        <v>0</v>
      </c>
      <c r="M63" s="0" t="n">
        <v>1</v>
      </c>
      <c r="N63" s="35" t="n">
        <v>-1021.5</v>
      </c>
    </row>
    <row r="64" customFormat="false" ht="12" hidden="false" customHeight="false" outlineLevel="0" collapsed="false">
      <c r="C64" s="0" t="n">
        <v>7</v>
      </c>
      <c r="D64" s="0" t="n">
        <v>0</v>
      </c>
      <c r="E64" s="0" t="n">
        <v>1</v>
      </c>
      <c r="F64" s="0" t="n">
        <v>1</v>
      </c>
      <c r="G64" s="35" t="n">
        <v>-1053.5</v>
      </c>
      <c r="J64" s="0" t="n">
        <v>7</v>
      </c>
      <c r="K64" s="0" t="n">
        <v>0</v>
      </c>
      <c r="L64" s="0" t="n">
        <v>1</v>
      </c>
      <c r="M64" s="0" t="n">
        <v>1</v>
      </c>
      <c r="N64" s="35" t="n">
        <v>-1214</v>
      </c>
    </row>
    <row r="65" customFormat="false" ht="12" hidden="false" customHeight="false" outlineLevel="0" collapsed="false">
      <c r="C65" s="0" t="n">
        <v>8</v>
      </c>
      <c r="D65" s="0" t="n">
        <v>1</v>
      </c>
      <c r="E65" s="0" t="n">
        <v>1</v>
      </c>
      <c r="F65" s="0" t="n">
        <v>1</v>
      </c>
      <c r="G65" s="35" t="n">
        <v>-882.5</v>
      </c>
      <c r="J65" s="0" t="n">
        <v>8</v>
      </c>
      <c r="K65" s="0" t="n">
        <v>1</v>
      </c>
      <c r="L65" s="0" t="n">
        <v>1</v>
      </c>
      <c r="M65" s="0" t="n">
        <v>1</v>
      </c>
      <c r="N65" s="35" t="n">
        <v>-882.5</v>
      </c>
    </row>
    <row r="69" customFormat="false" ht="15" hidden="false" customHeight="false" outlineLevel="0" collapsed="false">
      <c r="D69" s="66" t="s">
        <v>96</v>
      </c>
      <c r="E69" s="66"/>
      <c r="F69" s="67"/>
    </row>
    <row r="71" customFormat="false" ht="12" hidden="false" customHeight="false" outlineLevel="0" collapsed="false">
      <c r="C71" s="0" t="s">
        <v>33</v>
      </c>
      <c r="D71" s="0" t="s">
        <v>28</v>
      </c>
      <c r="E71" s="0" t="s">
        <v>29</v>
      </c>
      <c r="F71" s="0" t="s">
        <v>30</v>
      </c>
      <c r="G71" s="0" t="s">
        <v>31</v>
      </c>
    </row>
    <row r="73" customFormat="false" ht="12" hidden="false" customHeight="false" outlineLevel="0" collapsed="false">
      <c r="C73" s="0" t="n">
        <v>1</v>
      </c>
      <c r="D73" s="0" t="n">
        <v>0</v>
      </c>
      <c r="E73" s="0" t="n">
        <v>0</v>
      </c>
      <c r="F73" s="0" t="n">
        <v>0</v>
      </c>
      <c r="G73" s="35" t="n">
        <v>-2865.21944444445</v>
      </c>
    </row>
    <row r="74" customFormat="false" ht="12" hidden="false" customHeight="false" outlineLevel="0" collapsed="false">
      <c r="C74" s="0" t="n">
        <v>2</v>
      </c>
      <c r="D74" s="0" t="n">
        <v>1</v>
      </c>
      <c r="E74" s="0" t="n">
        <v>0</v>
      </c>
      <c r="F74" s="0" t="n">
        <v>0</v>
      </c>
      <c r="G74" s="35" t="n">
        <v>-2463.81805555556</v>
      </c>
    </row>
    <row r="75" customFormat="false" ht="12" hidden="false" customHeight="false" outlineLevel="0" collapsed="false">
      <c r="C75" s="0" t="n">
        <v>3</v>
      </c>
      <c r="D75" s="0" t="n">
        <v>0</v>
      </c>
      <c r="E75" s="0" t="n">
        <v>1</v>
      </c>
      <c r="F75" s="0" t="n">
        <v>0</v>
      </c>
      <c r="G75" s="35" t="n">
        <v>-2679.05166666667</v>
      </c>
    </row>
    <row r="76" customFormat="false" ht="12" hidden="false" customHeight="false" outlineLevel="0" collapsed="false">
      <c r="C76" s="0" t="n">
        <v>4</v>
      </c>
      <c r="D76" s="0" t="n">
        <v>1</v>
      </c>
      <c r="E76" s="0" t="n">
        <v>1</v>
      </c>
      <c r="F76" s="0" t="n">
        <v>0</v>
      </c>
      <c r="G76" s="35" t="n">
        <v>-2311.92527777778</v>
      </c>
    </row>
    <row r="77" customFormat="false" ht="12" hidden="false" customHeight="false" outlineLevel="0" collapsed="false">
      <c r="C77" s="0" t="n">
        <v>5</v>
      </c>
      <c r="D77" s="0" t="n">
        <v>0</v>
      </c>
      <c r="E77" s="0" t="n">
        <v>0</v>
      </c>
      <c r="F77" s="0" t="n">
        <v>1</v>
      </c>
      <c r="G77" s="35" t="n">
        <v>-1344.5</v>
      </c>
    </row>
    <row r="78" customFormat="false" ht="12" hidden="false" customHeight="false" outlineLevel="0" collapsed="false">
      <c r="C78" s="0" t="n">
        <v>6</v>
      </c>
      <c r="D78" s="0" t="n">
        <v>1</v>
      </c>
      <c r="E78" s="0" t="n">
        <v>0</v>
      </c>
      <c r="F78" s="0" t="n">
        <v>1</v>
      </c>
      <c r="G78" s="35" t="n">
        <v>-1178</v>
      </c>
    </row>
    <row r="79" customFormat="false" ht="12" hidden="false" customHeight="false" outlineLevel="0" collapsed="false">
      <c r="C79" s="0" t="n">
        <v>7</v>
      </c>
      <c r="D79" s="0" t="n">
        <v>0</v>
      </c>
      <c r="E79" s="0" t="n">
        <v>1</v>
      </c>
      <c r="F79" s="0" t="n">
        <v>1</v>
      </c>
      <c r="G79" s="35" t="n">
        <v>-1214</v>
      </c>
    </row>
    <row r="80" customFormat="false" ht="12" hidden="false" customHeight="false" outlineLevel="0" collapsed="false">
      <c r="C80" s="0" t="n">
        <v>8</v>
      </c>
      <c r="D80" s="0" t="n">
        <v>1</v>
      </c>
      <c r="E80" s="0" t="n">
        <v>1</v>
      </c>
      <c r="F80" s="0" t="n">
        <v>1</v>
      </c>
      <c r="G80" s="35" t="n">
        <v>-1053.5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95"/>
  <sheetViews>
    <sheetView showFormulas="false" showGridLines="true" showRowColHeaders="true" showZeros="true" rightToLeft="false" tabSelected="false" showOutlineSymbols="true" defaultGridColor="true" view="normal" topLeftCell="D57" colorId="64" zoomScale="100" zoomScaleNormal="100" zoomScalePageLayoutView="100" workbookViewId="0">
      <selection pane="topLeft" activeCell="J91" activeCellId="0" sqref="J91"/>
    </sheetView>
  </sheetViews>
  <sheetFormatPr defaultColWidth="8.82421875" defaultRowHeight="12" customHeight="false" zeroHeight="false" outlineLevelRow="0" outlineLevelCol="0"/>
  <sheetData>
    <row r="2" customFormat="false" ht="13" hidden="false" customHeight="false" outlineLevel="0" collapsed="false"/>
    <row r="3" customFormat="false" ht="12" hidden="false" customHeight="false" outlineLevel="0" collapsed="false">
      <c r="C3" s="3" t="s">
        <v>97</v>
      </c>
      <c r="D3" s="4" t="s">
        <v>32</v>
      </c>
      <c r="E3" s="4"/>
      <c r="F3" s="5"/>
      <c r="H3" s="3" t="s">
        <v>97</v>
      </c>
      <c r="I3" s="4" t="s">
        <v>47</v>
      </c>
      <c r="J3" s="4"/>
      <c r="K3" s="5"/>
    </row>
    <row r="4" customFormat="false" ht="12" hidden="false" customHeight="false" outlineLevel="0" collapsed="false">
      <c r="C4" s="7"/>
      <c r="D4" s="8" t="s">
        <v>98</v>
      </c>
      <c r="E4" s="8" t="s">
        <v>99</v>
      </c>
      <c r="F4" s="9" t="s">
        <v>100</v>
      </c>
      <c r="H4" s="7"/>
      <c r="I4" s="8" t="s">
        <v>98</v>
      </c>
      <c r="J4" s="8" t="s">
        <v>99</v>
      </c>
      <c r="K4" s="9" t="s">
        <v>100</v>
      </c>
    </row>
    <row r="5" customFormat="false" ht="12" hidden="false" customHeight="false" outlineLevel="0" collapsed="false">
      <c r="C5" s="7" t="n">
        <v>10</v>
      </c>
      <c r="D5" s="33" t="n">
        <v>-428.717222222222</v>
      </c>
      <c r="E5" s="33" t="n">
        <v>-545.567222222222</v>
      </c>
      <c r="F5" s="68" t="n">
        <v>-454.465833333333</v>
      </c>
      <c r="G5" s="35"/>
      <c r="H5" s="69" t="n">
        <v>10</v>
      </c>
      <c r="I5" s="33" t="n">
        <v>-624.467777777778</v>
      </c>
      <c r="J5" s="33" t="n">
        <v>-707.270833333333</v>
      </c>
      <c r="K5" s="68" t="n">
        <v>-646.918888888889</v>
      </c>
    </row>
    <row r="6" customFormat="false" ht="12" hidden="false" customHeight="false" outlineLevel="0" collapsed="false">
      <c r="C6" s="7" t="n">
        <v>20</v>
      </c>
      <c r="D6" s="33" t="n">
        <v>-444.076944444444</v>
      </c>
      <c r="E6" s="33" t="n">
        <v>-686.146388888889</v>
      </c>
      <c r="F6" s="68" t="n">
        <v>-555.906944444445</v>
      </c>
      <c r="G6" s="35"/>
      <c r="H6" s="69" t="n">
        <v>20</v>
      </c>
      <c r="I6" s="33" t="n">
        <v>-980.334722222222</v>
      </c>
      <c r="J6" s="33" t="n">
        <v>-1108.76555555556</v>
      </c>
      <c r="K6" s="68" t="n">
        <v>-1108.30305555556</v>
      </c>
    </row>
    <row r="7" customFormat="false" ht="12" hidden="false" customHeight="false" outlineLevel="0" collapsed="false">
      <c r="C7" s="7" t="n">
        <v>30</v>
      </c>
      <c r="D7" s="33" t="n">
        <v>-450.259722222222</v>
      </c>
      <c r="E7" s="33" t="n">
        <v>-844.305</v>
      </c>
      <c r="F7" s="68" t="n">
        <v>-652.920555555556</v>
      </c>
      <c r="G7" s="35"/>
      <c r="H7" s="69" t="n">
        <v>30</v>
      </c>
      <c r="I7" s="33" t="n">
        <v>-1549</v>
      </c>
      <c r="J7" s="33" t="n">
        <v>-1576</v>
      </c>
      <c r="K7" s="68" t="n">
        <v>-1622</v>
      </c>
    </row>
    <row r="8" customFormat="false" ht="12" hidden="false" customHeight="false" outlineLevel="0" collapsed="false">
      <c r="C8" s="7" t="n">
        <v>40</v>
      </c>
      <c r="D8" s="33" t="n">
        <v>-461.952222222222</v>
      </c>
      <c r="E8" s="33" t="n">
        <v>-1052.52972222222</v>
      </c>
      <c r="F8" s="68" t="n">
        <v>-650</v>
      </c>
      <c r="G8" s="35"/>
      <c r="H8" s="69" t="n">
        <v>40</v>
      </c>
      <c r="I8" s="33" t="n">
        <v>-1927.22861111111</v>
      </c>
      <c r="J8" s="33" t="n">
        <v>-2000.72388888889</v>
      </c>
      <c r="K8" s="68" t="n">
        <v>-2011.75555555556</v>
      </c>
    </row>
    <row r="9" customFormat="false" ht="12" hidden="false" customHeight="false" outlineLevel="0" collapsed="false">
      <c r="C9" s="7" t="n">
        <v>50</v>
      </c>
      <c r="D9" s="33" t="n">
        <v>-553.966944444444</v>
      </c>
      <c r="E9" s="33" t="n">
        <v>-1229.14972222222</v>
      </c>
      <c r="F9" s="68" t="n">
        <v>-791</v>
      </c>
      <c r="G9" s="35"/>
      <c r="H9" s="69" t="n">
        <v>50</v>
      </c>
      <c r="I9" s="33" t="n">
        <v>-2311.92527777778</v>
      </c>
      <c r="J9" s="33" t="n">
        <v>-2463.81805555556</v>
      </c>
      <c r="K9" s="68" t="n">
        <v>-2422.56583333333</v>
      </c>
    </row>
    <row r="10" customFormat="false" ht="13" hidden="false" customHeight="false" outlineLevel="0" collapsed="false">
      <c r="C10" s="13" t="n">
        <v>60</v>
      </c>
      <c r="D10" s="70" t="n">
        <v>-731.248055555556</v>
      </c>
      <c r="E10" s="70" t="n">
        <v>-1366.89944444444</v>
      </c>
      <c r="F10" s="71" t="n">
        <v>-868.639722222222</v>
      </c>
      <c r="G10" s="35"/>
      <c r="H10" s="72" t="n">
        <v>60</v>
      </c>
      <c r="I10" s="70" t="n">
        <v>-2679.05166666667</v>
      </c>
      <c r="J10" s="70" t="n">
        <v>-2865.21944444445</v>
      </c>
      <c r="K10" s="71" t="n">
        <v>-2778.40194444445</v>
      </c>
    </row>
    <row r="13" customFormat="false" ht="13" hidden="false" customHeight="false" outlineLevel="0" collapsed="false"/>
    <row r="14" customFormat="false" ht="12" hidden="false" customHeight="false" outlineLevel="0" collapsed="false">
      <c r="A14" s="3"/>
      <c r="B14" s="4"/>
      <c r="C14" s="4"/>
      <c r="D14" s="73" t="s">
        <v>101</v>
      </c>
      <c r="E14" s="5"/>
      <c r="H14" s="3"/>
      <c r="I14" s="4"/>
      <c r="J14" s="4"/>
      <c r="K14" s="73" t="s">
        <v>101</v>
      </c>
      <c r="L14" s="5"/>
    </row>
    <row r="15" customFormat="false" ht="12" hidden="false" customHeight="false" outlineLevel="0" collapsed="false">
      <c r="A15" s="7"/>
      <c r="B15" s="8"/>
      <c r="C15" s="8"/>
      <c r="D15" s="8"/>
      <c r="E15" s="9"/>
      <c r="H15" s="7"/>
      <c r="I15" s="8"/>
      <c r="J15" s="8"/>
      <c r="K15" s="8"/>
      <c r="L15" s="9"/>
    </row>
    <row r="16" customFormat="false" ht="12" hidden="false" customHeight="false" outlineLevel="0" collapsed="false">
      <c r="A16" s="7"/>
      <c r="B16" s="8"/>
      <c r="C16" s="8"/>
      <c r="D16" s="8" t="s">
        <v>29</v>
      </c>
      <c r="E16" s="9" t="s">
        <v>102</v>
      </c>
      <c r="H16" s="7"/>
      <c r="I16" s="8"/>
      <c r="J16" s="8"/>
      <c r="K16" s="8" t="s">
        <v>29</v>
      </c>
      <c r="L16" s="9" t="s">
        <v>102</v>
      </c>
    </row>
    <row r="17" customFormat="false" ht="12" hidden="false" customHeight="false" outlineLevel="0" collapsed="false">
      <c r="A17" s="7"/>
      <c r="B17" s="8"/>
      <c r="C17" s="8" t="s">
        <v>103</v>
      </c>
      <c r="D17" s="8" t="s">
        <v>104</v>
      </c>
      <c r="E17" s="9"/>
      <c r="H17" s="7"/>
      <c r="I17" s="8"/>
      <c r="J17" s="8" t="s">
        <v>103</v>
      </c>
      <c r="K17" s="8" t="s">
        <v>104</v>
      </c>
      <c r="L17" s="9"/>
    </row>
    <row r="18" customFormat="false" ht="12" hidden="false" customHeight="false" outlineLevel="0" collapsed="false">
      <c r="A18" s="7" t="s">
        <v>28</v>
      </c>
      <c r="B18" s="8" t="s">
        <v>103</v>
      </c>
      <c r="C18" s="33" t="n">
        <v>-428.717222222222</v>
      </c>
      <c r="D18" s="33" t="n">
        <v>-545.567222222222</v>
      </c>
      <c r="E18" s="68" t="n">
        <f aca="false">C18-D18</f>
        <v>116.85</v>
      </c>
      <c r="H18" s="7" t="s">
        <v>28</v>
      </c>
      <c r="I18" s="8" t="s">
        <v>103</v>
      </c>
      <c r="J18" s="35" t="n">
        <v>-624.467777777778</v>
      </c>
      <c r="K18" s="35" t="n">
        <v>-707.270833333333</v>
      </c>
      <c r="L18" s="68" t="n">
        <f aca="false">J18-K18</f>
        <v>82.8030555555558</v>
      </c>
    </row>
    <row r="19" customFormat="false" ht="12" hidden="false" customHeight="false" outlineLevel="0" collapsed="false">
      <c r="A19" s="7"/>
      <c r="B19" s="8" t="s">
        <v>104</v>
      </c>
      <c r="C19" s="33" t="n">
        <v>-444.076944444444</v>
      </c>
      <c r="D19" s="33" t="n">
        <v>-686.146388888889</v>
      </c>
      <c r="E19" s="68" t="n">
        <f aca="false">C19-D19</f>
        <v>242.069444444444</v>
      </c>
      <c r="H19" s="7"/>
      <c r="I19" s="8" t="s">
        <v>104</v>
      </c>
      <c r="J19" s="35" t="n">
        <v>-980.334722222222</v>
      </c>
      <c r="K19" s="35" t="n">
        <v>-1108.76555555556</v>
      </c>
      <c r="L19" s="68" t="n">
        <f aca="false">J19-K19</f>
        <v>128.430833333333</v>
      </c>
    </row>
    <row r="20" customFormat="false" ht="12" hidden="false" customHeight="false" outlineLevel="0" collapsed="false">
      <c r="A20" s="7"/>
      <c r="B20" s="8" t="s">
        <v>102</v>
      </c>
      <c r="C20" s="33" t="n">
        <f aca="false">C18-C19</f>
        <v>15.3597222222222</v>
      </c>
      <c r="D20" s="33" t="n">
        <f aca="false">D18-D19</f>
        <v>140.579166666667</v>
      </c>
      <c r="E20" s="68" t="n">
        <v>257.429166666666</v>
      </c>
      <c r="H20" s="7"/>
      <c r="I20" s="8" t="s">
        <v>102</v>
      </c>
      <c r="J20" s="33" t="n">
        <f aca="false">J18-J19</f>
        <v>355.866944444445</v>
      </c>
      <c r="K20" s="33" t="n">
        <f aca="false">K18-K19</f>
        <v>401.494722222222</v>
      </c>
      <c r="L20" s="68" t="n">
        <f aca="false">J18-K19</f>
        <v>484.297777777778</v>
      </c>
    </row>
    <row r="21" customFormat="false" ht="12" hidden="false" customHeight="false" outlineLevel="0" collapsed="false">
      <c r="A21" s="7"/>
      <c r="B21" s="8"/>
      <c r="C21" s="74" t="n">
        <f aca="false">E19+D20</f>
        <v>382.648611111111</v>
      </c>
      <c r="D21" s="75" t="s">
        <v>105</v>
      </c>
      <c r="E21" s="76" t="n">
        <v>257.429166666666</v>
      </c>
      <c r="H21" s="7"/>
      <c r="I21" s="8"/>
      <c r="J21" s="74" t="n">
        <f aca="false">L19+K20</f>
        <v>529.925555555555</v>
      </c>
      <c r="K21" s="75" t="s">
        <v>105</v>
      </c>
      <c r="L21" s="76" t="n">
        <f aca="false">L20</f>
        <v>484.297777777778</v>
      </c>
    </row>
    <row r="22" customFormat="false" ht="12" hidden="false" customHeight="false" outlineLevel="0" collapsed="false">
      <c r="A22" s="7"/>
      <c r="B22" s="8"/>
      <c r="C22" s="8"/>
      <c r="D22" s="8"/>
      <c r="E22" s="9"/>
      <c r="H22" s="7"/>
      <c r="I22" s="8"/>
      <c r="J22" s="8"/>
      <c r="K22" s="8"/>
      <c r="L22" s="9"/>
    </row>
    <row r="23" customFormat="false" ht="12" hidden="false" customHeight="false" outlineLevel="0" collapsed="false">
      <c r="A23" s="7"/>
      <c r="B23" s="8"/>
      <c r="C23" s="8"/>
      <c r="D23" s="77" t="s">
        <v>106</v>
      </c>
      <c r="E23" s="9"/>
      <c r="H23" s="7"/>
      <c r="I23" s="8"/>
      <c r="J23" s="8"/>
      <c r="K23" s="77" t="s">
        <v>106</v>
      </c>
      <c r="L23" s="9"/>
    </row>
    <row r="24" customFormat="false" ht="12" hidden="false" customHeight="false" outlineLevel="0" collapsed="false">
      <c r="A24" s="7"/>
      <c r="B24" s="8"/>
      <c r="C24" s="8"/>
      <c r="D24" s="8"/>
      <c r="E24" s="9"/>
      <c r="H24" s="7"/>
      <c r="I24" s="8"/>
      <c r="J24" s="8"/>
      <c r="K24" s="8"/>
      <c r="L24" s="9"/>
    </row>
    <row r="25" customFormat="false" ht="12" hidden="false" customHeight="false" outlineLevel="0" collapsed="false">
      <c r="A25" s="7"/>
      <c r="B25" s="8"/>
      <c r="C25" s="8"/>
      <c r="D25" s="8" t="s">
        <v>29</v>
      </c>
      <c r="E25" s="9" t="s">
        <v>102</v>
      </c>
      <c r="H25" s="7"/>
      <c r="I25" s="8"/>
      <c r="J25" s="8"/>
      <c r="K25" s="8" t="s">
        <v>29</v>
      </c>
      <c r="L25" s="9" t="s">
        <v>102</v>
      </c>
    </row>
    <row r="26" customFormat="false" ht="12" hidden="false" customHeight="false" outlineLevel="0" collapsed="false">
      <c r="A26" s="7"/>
      <c r="B26" s="8"/>
      <c r="C26" s="8" t="s">
        <v>103</v>
      </c>
      <c r="D26" s="8" t="s">
        <v>104</v>
      </c>
      <c r="E26" s="9"/>
      <c r="H26" s="7"/>
      <c r="I26" s="8"/>
      <c r="J26" s="8" t="s">
        <v>103</v>
      </c>
      <c r="K26" s="8" t="s">
        <v>104</v>
      </c>
      <c r="L26" s="9"/>
    </row>
    <row r="27" customFormat="false" ht="12" hidden="false" customHeight="false" outlineLevel="0" collapsed="false">
      <c r="A27" s="7" t="s">
        <v>28</v>
      </c>
      <c r="B27" s="8" t="s">
        <v>103</v>
      </c>
      <c r="C27" s="33" t="n">
        <v>-444.076944444444</v>
      </c>
      <c r="D27" s="33" t="n">
        <v>-686.146388888889</v>
      </c>
      <c r="E27" s="68" t="n">
        <f aca="false">C27-D27</f>
        <v>242.069444444444</v>
      </c>
      <c r="H27" s="7" t="s">
        <v>28</v>
      </c>
      <c r="I27" s="8" t="s">
        <v>103</v>
      </c>
      <c r="J27" s="35" t="n">
        <v>-980.334722222222</v>
      </c>
      <c r="K27" s="35" t="n">
        <v>-1108.76555555556</v>
      </c>
      <c r="L27" s="68" t="n">
        <f aca="false">J27-K27</f>
        <v>128.430833333333</v>
      </c>
    </row>
    <row r="28" customFormat="false" ht="12" hidden="false" customHeight="false" outlineLevel="0" collapsed="false">
      <c r="A28" s="7"/>
      <c r="B28" s="8" t="s">
        <v>104</v>
      </c>
      <c r="C28" s="33" t="n">
        <v>-450.259722222222</v>
      </c>
      <c r="D28" s="33" t="n">
        <v>-844.305</v>
      </c>
      <c r="E28" s="68" t="n">
        <f aca="false">C28-D28</f>
        <v>394.045277777778</v>
      </c>
      <c r="H28" s="7"/>
      <c r="I28" s="8" t="s">
        <v>104</v>
      </c>
      <c r="J28" s="35" t="n">
        <v>-1549</v>
      </c>
      <c r="K28" s="35" t="n">
        <v>-1576</v>
      </c>
      <c r="L28" s="68" t="n">
        <f aca="false">J28-K28</f>
        <v>27</v>
      </c>
    </row>
    <row r="29" customFormat="false" ht="12" hidden="false" customHeight="false" outlineLevel="0" collapsed="false">
      <c r="A29" s="7"/>
      <c r="B29" s="8" t="s">
        <v>102</v>
      </c>
      <c r="C29" s="33" t="n">
        <f aca="false">C27-C28</f>
        <v>6.18277777777786</v>
      </c>
      <c r="D29" s="33" t="n">
        <f aca="false">D27-D28</f>
        <v>158.158611111111</v>
      </c>
      <c r="E29" s="68" t="n">
        <f aca="false">C27-D28</f>
        <v>400.228055555556</v>
      </c>
      <c r="H29" s="7"/>
      <c r="I29" s="8" t="s">
        <v>102</v>
      </c>
      <c r="J29" s="33" t="n">
        <f aca="false">J27-J28</f>
        <v>568.665277777778</v>
      </c>
      <c r="K29" s="33" t="n">
        <f aca="false">K27-K28</f>
        <v>467.234444444445</v>
      </c>
      <c r="L29" s="68" t="n">
        <f aca="false">J27-K28</f>
        <v>595.665277777778</v>
      </c>
    </row>
    <row r="30" customFormat="false" ht="12" hidden="false" customHeight="false" outlineLevel="0" collapsed="false">
      <c r="A30" s="7"/>
      <c r="B30" s="8"/>
      <c r="C30" s="74" t="n">
        <f aca="false">D29+E28</f>
        <v>552.203888888889</v>
      </c>
      <c r="D30" s="75" t="s">
        <v>105</v>
      </c>
      <c r="E30" s="78" t="n">
        <v>400</v>
      </c>
      <c r="H30" s="7"/>
      <c r="I30" s="8"/>
      <c r="J30" s="74" t="n">
        <f aca="false">K29+L28</f>
        <v>494.234444444445</v>
      </c>
      <c r="K30" s="75" t="s">
        <v>107</v>
      </c>
      <c r="L30" s="76" t="n">
        <f aca="false">L29</f>
        <v>595.665277777778</v>
      </c>
    </row>
    <row r="31" customFormat="false" ht="12" hidden="false" customHeight="false" outlineLevel="0" collapsed="false">
      <c r="A31" s="7"/>
      <c r="B31" s="8"/>
      <c r="C31" s="8"/>
      <c r="D31" s="8"/>
      <c r="E31" s="9"/>
      <c r="H31" s="7"/>
      <c r="I31" s="8"/>
      <c r="J31" s="8"/>
      <c r="K31" s="8"/>
      <c r="L31" s="9"/>
    </row>
    <row r="32" customFormat="false" ht="12" hidden="false" customHeight="false" outlineLevel="0" collapsed="false">
      <c r="A32" s="7"/>
      <c r="B32" s="8"/>
      <c r="C32" s="8"/>
      <c r="D32" s="77" t="s">
        <v>108</v>
      </c>
      <c r="E32" s="9"/>
      <c r="H32" s="7"/>
      <c r="I32" s="8"/>
      <c r="J32" s="8"/>
      <c r="K32" s="77" t="s">
        <v>108</v>
      </c>
      <c r="L32" s="9"/>
    </row>
    <row r="33" customFormat="false" ht="12" hidden="false" customHeight="false" outlineLevel="0" collapsed="false">
      <c r="A33" s="7"/>
      <c r="B33" s="8"/>
      <c r="C33" s="8"/>
      <c r="D33" s="8"/>
      <c r="E33" s="9"/>
      <c r="H33" s="7"/>
      <c r="I33" s="8"/>
      <c r="J33" s="8"/>
      <c r="K33" s="8"/>
      <c r="L33" s="9"/>
    </row>
    <row r="34" customFormat="false" ht="12" hidden="false" customHeight="false" outlineLevel="0" collapsed="false">
      <c r="A34" s="7"/>
      <c r="B34" s="8"/>
      <c r="C34" s="8"/>
      <c r="D34" s="8" t="s">
        <v>29</v>
      </c>
      <c r="E34" s="9" t="s">
        <v>102</v>
      </c>
      <c r="H34" s="7"/>
      <c r="I34" s="8"/>
      <c r="J34" s="8"/>
      <c r="K34" s="8" t="s">
        <v>29</v>
      </c>
      <c r="L34" s="9" t="s">
        <v>102</v>
      </c>
    </row>
    <row r="35" customFormat="false" ht="12" hidden="false" customHeight="false" outlineLevel="0" collapsed="false">
      <c r="A35" s="7"/>
      <c r="B35" s="8"/>
      <c r="C35" s="8" t="s">
        <v>103</v>
      </c>
      <c r="D35" s="8" t="s">
        <v>104</v>
      </c>
      <c r="E35" s="9"/>
      <c r="H35" s="7"/>
      <c r="I35" s="8"/>
      <c r="J35" s="8" t="s">
        <v>103</v>
      </c>
      <c r="K35" s="8" t="s">
        <v>104</v>
      </c>
      <c r="L35" s="9"/>
    </row>
    <row r="36" customFormat="false" ht="12" hidden="false" customHeight="false" outlineLevel="0" collapsed="false">
      <c r="A36" s="7" t="s">
        <v>28</v>
      </c>
      <c r="B36" s="8" t="s">
        <v>103</v>
      </c>
      <c r="C36" s="33" t="n">
        <v>-450.259722222222</v>
      </c>
      <c r="D36" s="33" t="n">
        <v>-844.305</v>
      </c>
      <c r="E36" s="68" t="n">
        <f aca="false">C36-D36</f>
        <v>394.045277777778</v>
      </c>
      <c r="H36" s="7" t="s">
        <v>28</v>
      </c>
      <c r="I36" s="8" t="s">
        <v>103</v>
      </c>
      <c r="J36" s="35" t="n">
        <v>-1549</v>
      </c>
      <c r="K36" s="35" t="n">
        <v>-1576</v>
      </c>
      <c r="L36" s="68" t="n">
        <f aca="false">J36-K36</f>
        <v>27</v>
      </c>
    </row>
    <row r="37" customFormat="false" ht="12" hidden="false" customHeight="false" outlineLevel="0" collapsed="false">
      <c r="A37" s="7"/>
      <c r="B37" s="8" t="s">
        <v>104</v>
      </c>
      <c r="C37" s="33" t="n">
        <v>-461.952222222222</v>
      </c>
      <c r="D37" s="33" t="n">
        <v>-1052.52972222222</v>
      </c>
      <c r="E37" s="68" t="n">
        <f aca="false">C37-D37</f>
        <v>590.5775</v>
      </c>
      <c r="H37" s="7"/>
      <c r="I37" s="8" t="s">
        <v>104</v>
      </c>
      <c r="J37" s="35" t="n">
        <v>-1927.22861111111</v>
      </c>
      <c r="K37" s="35" t="n">
        <v>-2000.72388888889</v>
      </c>
      <c r="L37" s="68" t="n">
        <f aca="false">J37-K37</f>
        <v>73.4952777777767</v>
      </c>
    </row>
    <row r="38" customFormat="false" ht="12" hidden="false" customHeight="false" outlineLevel="0" collapsed="false">
      <c r="A38" s="7"/>
      <c r="B38" s="8" t="s">
        <v>102</v>
      </c>
      <c r="C38" s="33" t="n">
        <f aca="false">C36-C37</f>
        <v>11.6924999999998</v>
      </c>
      <c r="D38" s="33" t="n">
        <f aca="false">D36-D37</f>
        <v>208.224722222223</v>
      </c>
      <c r="E38" s="68" t="n">
        <f aca="false">C36-D37</f>
        <v>602.27</v>
      </c>
      <c r="H38" s="7"/>
      <c r="I38" s="8" t="s">
        <v>102</v>
      </c>
      <c r="J38" s="33" t="n">
        <f aca="false">J36-J37</f>
        <v>378.228611111111</v>
      </c>
      <c r="K38" s="33" t="n">
        <f aca="false">K36-K37</f>
        <v>424.723888888888</v>
      </c>
      <c r="L38" s="68" t="n">
        <f aca="false">J36-K37</f>
        <v>451.723888888888</v>
      </c>
    </row>
    <row r="39" customFormat="false" ht="12" hidden="false" customHeight="false" outlineLevel="0" collapsed="false">
      <c r="A39" s="7"/>
      <c r="B39" s="8"/>
      <c r="C39" s="74" t="n">
        <f aca="false">D38+E37</f>
        <v>798.802222222223</v>
      </c>
      <c r="D39" s="75" t="s">
        <v>109</v>
      </c>
      <c r="E39" s="78" t="n">
        <v>602</v>
      </c>
      <c r="H39" s="7"/>
      <c r="I39" s="8"/>
      <c r="J39" s="74" t="n">
        <f aca="false">K38+L37</f>
        <v>498.219166666665</v>
      </c>
      <c r="K39" s="75" t="s">
        <v>109</v>
      </c>
      <c r="L39" s="76" t="n">
        <f aca="false">L38</f>
        <v>451.723888888888</v>
      </c>
    </row>
    <row r="40" customFormat="false" ht="12" hidden="false" customHeight="false" outlineLevel="0" collapsed="false">
      <c r="A40" s="7"/>
      <c r="B40" s="8"/>
      <c r="C40" s="8"/>
      <c r="D40" s="8"/>
      <c r="E40" s="9"/>
      <c r="H40" s="7"/>
      <c r="I40" s="8"/>
      <c r="J40" s="8"/>
      <c r="K40" s="8"/>
      <c r="L40" s="9"/>
    </row>
    <row r="41" customFormat="false" ht="12" hidden="false" customHeight="false" outlineLevel="0" collapsed="false">
      <c r="A41" s="7"/>
      <c r="B41" s="8"/>
      <c r="C41" s="8"/>
      <c r="D41" s="77" t="s">
        <v>110</v>
      </c>
      <c r="E41" s="9"/>
      <c r="H41" s="7"/>
      <c r="I41" s="8"/>
      <c r="J41" s="8"/>
      <c r="K41" s="77" t="s">
        <v>110</v>
      </c>
      <c r="L41" s="9"/>
    </row>
    <row r="42" customFormat="false" ht="12" hidden="false" customHeight="false" outlineLevel="0" collapsed="false">
      <c r="A42" s="7"/>
      <c r="B42" s="8"/>
      <c r="C42" s="8"/>
      <c r="D42" s="8"/>
      <c r="E42" s="9"/>
      <c r="H42" s="7"/>
      <c r="I42" s="8"/>
      <c r="J42" s="8"/>
      <c r="K42" s="8"/>
      <c r="L42" s="9"/>
    </row>
    <row r="43" customFormat="false" ht="12" hidden="false" customHeight="false" outlineLevel="0" collapsed="false">
      <c r="A43" s="7"/>
      <c r="B43" s="8"/>
      <c r="C43" s="8"/>
      <c r="D43" s="8" t="s">
        <v>29</v>
      </c>
      <c r="E43" s="9" t="s">
        <v>102</v>
      </c>
      <c r="H43" s="7"/>
      <c r="I43" s="8"/>
      <c r="J43" s="8"/>
      <c r="K43" s="8" t="s">
        <v>29</v>
      </c>
      <c r="L43" s="9" t="s">
        <v>102</v>
      </c>
    </row>
    <row r="44" customFormat="false" ht="12" hidden="false" customHeight="false" outlineLevel="0" collapsed="false">
      <c r="A44" s="7"/>
      <c r="B44" s="8"/>
      <c r="C44" s="8" t="s">
        <v>103</v>
      </c>
      <c r="D44" s="8" t="s">
        <v>104</v>
      </c>
      <c r="E44" s="9"/>
      <c r="H44" s="7"/>
      <c r="I44" s="8"/>
      <c r="J44" s="8" t="s">
        <v>103</v>
      </c>
      <c r="K44" s="8" t="s">
        <v>104</v>
      </c>
      <c r="L44" s="9"/>
    </row>
    <row r="45" customFormat="false" ht="12" hidden="false" customHeight="false" outlineLevel="0" collapsed="false">
      <c r="A45" s="7" t="s">
        <v>28</v>
      </c>
      <c r="B45" s="8" t="s">
        <v>103</v>
      </c>
      <c r="C45" s="33" t="n">
        <v>-461.952222222222</v>
      </c>
      <c r="D45" s="33" t="n">
        <v>-1052.52972222222</v>
      </c>
      <c r="E45" s="68" t="n">
        <f aca="false">C45-D45</f>
        <v>590.5775</v>
      </c>
      <c r="H45" s="7" t="s">
        <v>28</v>
      </c>
      <c r="I45" s="8" t="s">
        <v>103</v>
      </c>
      <c r="J45" s="35" t="n">
        <v>-1927.22861111111</v>
      </c>
      <c r="K45" s="35" t="n">
        <v>-2000.72388888889</v>
      </c>
      <c r="L45" s="68" t="n">
        <f aca="false">J45-K45</f>
        <v>73.4952777777767</v>
      </c>
    </row>
    <row r="46" customFormat="false" ht="12" hidden="false" customHeight="false" outlineLevel="0" collapsed="false">
      <c r="A46" s="7"/>
      <c r="B46" s="8" t="s">
        <v>104</v>
      </c>
      <c r="C46" s="33" t="n">
        <v>-553.966944444444</v>
      </c>
      <c r="D46" s="33" t="n">
        <v>-1229.14972222222</v>
      </c>
      <c r="E46" s="68" t="n">
        <f aca="false">C46-D46</f>
        <v>675.182777777778</v>
      </c>
      <c r="H46" s="7"/>
      <c r="I46" s="8" t="s">
        <v>104</v>
      </c>
      <c r="J46" s="35" t="n">
        <v>-2311.92527777778</v>
      </c>
      <c r="K46" s="35" t="n">
        <v>-2463.81805555556</v>
      </c>
      <c r="L46" s="68" t="n">
        <f aca="false">J46-K46</f>
        <v>151.892777777778</v>
      </c>
    </row>
    <row r="47" customFormat="false" ht="12" hidden="false" customHeight="false" outlineLevel="0" collapsed="false">
      <c r="A47" s="7"/>
      <c r="B47" s="8" t="s">
        <v>102</v>
      </c>
      <c r="C47" s="33" t="n">
        <f aca="false">C45-C46</f>
        <v>92.0147222222223</v>
      </c>
      <c r="D47" s="33" t="n">
        <f aca="false">D45-D46</f>
        <v>176.62</v>
      </c>
      <c r="E47" s="68" t="n">
        <f aca="false">C45-D46</f>
        <v>767.1975</v>
      </c>
      <c r="H47" s="7"/>
      <c r="I47" s="8" t="s">
        <v>102</v>
      </c>
      <c r="J47" s="33" t="n">
        <f aca="false">J45-J46</f>
        <v>384.696666666666</v>
      </c>
      <c r="K47" s="33" t="n">
        <f aca="false">K45-K46</f>
        <v>463.094166666667</v>
      </c>
      <c r="L47" s="68" t="n">
        <f aca="false">J45-K46</f>
        <v>536.589444444444</v>
      </c>
    </row>
    <row r="48" customFormat="false" ht="12" hidden="false" customHeight="false" outlineLevel="0" collapsed="false">
      <c r="A48" s="7"/>
      <c r="B48" s="8"/>
      <c r="C48" s="74" t="n">
        <f aca="false">D47+E46</f>
        <v>851.802777777778</v>
      </c>
      <c r="D48" s="75" t="s">
        <v>105</v>
      </c>
      <c r="E48" s="78" t="n">
        <v>767</v>
      </c>
      <c r="H48" s="7"/>
      <c r="I48" s="8"/>
      <c r="J48" s="74" t="n">
        <f aca="false">K47+L46</f>
        <v>614.986944444446</v>
      </c>
      <c r="K48" s="75" t="s">
        <v>105</v>
      </c>
      <c r="L48" s="76" t="n">
        <f aca="false">L47</f>
        <v>536.589444444444</v>
      </c>
    </row>
    <row r="49" customFormat="false" ht="12" hidden="false" customHeight="false" outlineLevel="0" collapsed="false">
      <c r="A49" s="7"/>
      <c r="B49" s="8"/>
      <c r="C49" s="8"/>
      <c r="D49" s="77" t="s">
        <v>111</v>
      </c>
      <c r="E49" s="9"/>
      <c r="H49" s="7"/>
      <c r="I49" s="8"/>
      <c r="J49" s="8"/>
      <c r="K49" s="77" t="s">
        <v>111</v>
      </c>
      <c r="L49" s="9"/>
    </row>
    <row r="50" customFormat="false" ht="12" hidden="false" customHeight="false" outlineLevel="0" collapsed="false">
      <c r="A50" s="7"/>
      <c r="B50" s="8"/>
      <c r="C50" s="8"/>
      <c r="D50" s="8"/>
      <c r="E50" s="9"/>
      <c r="H50" s="7"/>
      <c r="I50" s="8"/>
      <c r="J50" s="8"/>
      <c r="K50" s="8"/>
      <c r="L50" s="9"/>
    </row>
    <row r="51" customFormat="false" ht="12" hidden="false" customHeight="false" outlineLevel="0" collapsed="false">
      <c r="A51" s="7"/>
      <c r="B51" s="8"/>
      <c r="C51" s="8"/>
      <c r="D51" s="8" t="s">
        <v>29</v>
      </c>
      <c r="E51" s="9" t="s">
        <v>102</v>
      </c>
      <c r="H51" s="7"/>
      <c r="I51" s="8"/>
      <c r="J51" s="8"/>
      <c r="K51" s="8" t="s">
        <v>29</v>
      </c>
      <c r="L51" s="9" t="s">
        <v>102</v>
      </c>
    </row>
    <row r="52" customFormat="false" ht="12" hidden="false" customHeight="false" outlineLevel="0" collapsed="false">
      <c r="A52" s="7"/>
      <c r="B52" s="8"/>
      <c r="C52" s="8" t="s">
        <v>103</v>
      </c>
      <c r="D52" s="8" t="s">
        <v>104</v>
      </c>
      <c r="E52" s="9"/>
      <c r="H52" s="7"/>
      <c r="I52" s="8"/>
      <c r="J52" s="8" t="s">
        <v>103</v>
      </c>
      <c r="K52" s="8" t="s">
        <v>104</v>
      </c>
      <c r="L52" s="9"/>
    </row>
    <row r="53" customFormat="false" ht="12" hidden="false" customHeight="false" outlineLevel="0" collapsed="false">
      <c r="A53" s="7" t="s">
        <v>28</v>
      </c>
      <c r="B53" s="8" t="s">
        <v>103</v>
      </c>
      <c r="C53" s="33" t="n">
        <v>-553.966944444444</v>
      </c>
      <c r="D53" s="33" t="n">
        <v>-1229.14972222222</v>
      </c>
      <c r="E53" s="68" t="n">
        <f aca="false">C53-D53</f>
        <v>675.182777777778</v>
      </c>
      <c r="H53" s="7" t="s">
        <v>28</v>
      </c>
      <c r="I53" s="8" t="s">
        <v>103</v>
      </c>
      <c r="J53" s="35" t="n">
        <v>-2311.92527777778</v>
      </c>
      <c r="K53" s="35" t="n">
        <v>-2463.81805555556</v>
      </c>
      <c r="L53" s="68" t="n">
        <f aca="false">J53-K53</f>
        <v>151.892777777778</v>
      </c>
    </row>
    <row r="54" customFormat="false" ht="12" hidden="false" customHeight="false" outlineLevel="0" collapsed="false">
      <c r="A54" s="7"/>
      <c r="B54" s="8" t="s">
        <v>104</v>
      </c>
      <c r="C54" s="33" t="n">
        <v>-731.248055555556</v>
      </c>
      <c r="D54" s="33" t="n">
        <v>-1366.89944444444</v>
      </c>
      <c r="E54" s="68" t="n">
        <f aca="false">C54-D54</f>
        <v>635.651388888889</v>
      </c>
      <c r="H54" s="7"/>
      <c r="I54" s="8" t="s">
        <v>104</v>
      </c>
      <c r="J54" s="35" t="n">
        <v>-2679.05166666667</v>
      </c>
      <c r="K54" s="35" t="n">
        <v>-2865.21944444445</v>
      </c>
      <c r="L54" s="68" t="n">
        <f aca="false">J54-K54</f>
        <v>186.167777777779</v>
      </c>
    </row>
    <row r="55" customFormat="false" ht="12" hidden="false" customHeight="false" outlineLevel="0" collapsed="false">
      <c r="A55" s="7"/>
      <c r="B55" s="8" t="s">
        <v>102</v>
      </c>
      <c r="C55" s="33" t="n">
        <f aca="false">C53-C54</f>
        <v>177.281111111111</v>
      </c>
      <c r="D55" s="33" t="n">
        <f aca="false">D53-D54</f>
        <v>137.749722222222</v>
      </c>
      <c r="E55" s="68" t="n">
        <f aca="false">C53-D54</f>
        <v>812.9325</v>
      </c>
      <c r="H55" s="7"/>
      <c r="I55" s="8" t="s">
        <v>102</v>
      </c>
      <c r="J55" s="33" t="n">
        <f aca="false">J53-J54</f>
        <v>367.126388888889</v>
      </c>
      <c r="K55" s="33" t="n">
        <f aca="false">K53-K54</f>
        <v>401.401388888889</v>
      </c>
      <c r="L55" s="68" t="n">
        <f aca="false">J53-K54</f>
        <v>553.294166666668</v>
      </c>
    </row>
    <row r="56" customFormat="false" ht="12" hidden="false" customHeight="false" outlineLevel="0" collapsed="false">
      <c r="A56" s="7"/>
      <c r="B56" s="8"/>
      <c r="C56" s="74" t="n">
        <f aca="false">D55+E54</f>
        <v>773.401111111111</v>
      </c>
      <c r="D56" s="75" t="s">
        <v>112</v>
      </c>
      <c r="E56" s="78" t="n">
        <v>813</v>
      </c>
      <c r="H56" s="7"/>
      <c r="I56" s="8"/>
      <c r="J56" s="74" t="n">
        <f aca="false">K55+L54</f>
        <v>587.569166666668</v>
      </c>
      <c r="K56" s="75" t="s">
        <v>113</v>
      </c>
      <c r="L56" s="76" t="n">
        <f aca="false">L55</f>
        <v>553.294166666668</v>
      </c>
    </row>
    <row r="57" customFormat="false" ht="12" hidden="false" customHeight="false" outlineLevel="0" collapsed="false">
      <c r="A57" s="7"/>
      <c r="B57" s="8"/>
      <c r="C57" s="8"/>
      <c r="D57" s="77"/>
      <c r="E57" s="9"/>
      <c r="H57" s="7"/>
      <c r="I57" s="8"/>
      <c r="J57" s="8"/>
      <c r="K57" s="77"/>
      <c r="L57" s="9"/>
    </row>
    <row r="58" customFormat="false" ht="13" hidden="false" customHeight="false" outlineLevel="0" collapsed="false">
      <c r="A58" s="13"/>
      <c r="B58" s="14"/>
      <c r="C58" s="14"/>
      <c r="D58" s="14"/>
      <c r="E58" s="15"/>
      <c r="H58" s="13"/>
      <c r="I58" s="14"/>
      <c r="J58" s="14"/>
      <c r="K58" s="14"/>
      <c r="L58" s="15"/>
    </row>
    <row r="60" customFormat="false" ht="13" hidden="false" customHeight="false" outlineLevel="0" collapsed="false"/>
    <row r="61" customFormat="false" ht="12" hidden="false" customHeight="false" outlineLevel="0" collapsed="false">
      <c r="A61" s="3"/>
      <c r="B61" s="4"/>
      <c r="C61" s="4"/>
      <c r="D61" s="73" t="s">
        <v>114</v>
      </c>
      <c r="E61" s="5"/>
      <c r="H61" s="3"/>
      <c r="I61" s="4"/>
      <c r="J61" s="4"/>
      <c r="K61" s="73" t="s">
        <v>114</v>
      </c>
      <c r="L61" s="5"/>
    </row>
    <row r="62" customFormat="false" ht="12" hidden="false" customHeight="false" outlineLevel="0" collapsed="false">
      <c r="A62" s="7"/>
      <c r="B62" s="8"/>
      <c r="C62" s="8"/>
      <c r="D62" s="8"/>
      <c r="E62" s="9"/>
      <c r="H62" s="7"/>
      <c r="I62" s="8"/>
      <c r="J62" s="8"/>
      <c r="K62" s="8"/>
      <c r="L62" s="9"/>
    </row>
    <row r="63" customFormat="false" ht="12" hidden="false" customHeight="false" outlineLevel="0" collapsed="false">
      <c r="A63" s="7"/>
      <c r="B63" s="8"/>
      <c r="C63" s="8"/>
      <c r="D63" s="8" t="s">
        <v>29</v>
      </c>
      <c r="E63" s="9" t="s">
        <v>102</v>
      </c>
      <c r="H63" s="7"/>
      <c r="I63" s="8"/>
      <c r="J63" s="8"/>
      <c r="K63" s="8" t="s">
        <v>29</v>
      </c>
      <c r="L63" s="9" t="s">
        <v>102</v>
      </c>
    </row>
    <row r="64" customFormat="false" ht="12" hidden="false" customHeight="false" outlineLevel="0" collapsed="false">
      <c r="A64" s="7"/>
      <c r="B64" s="8"/>
      <c r="C64" s="8" t="s">
        <v>103</v>
      </c>
      <c r="D64" s="8" t="s">
        <v>104</v>
      </c>
      <c r="E64" s="9"/>
      <c r="H64" s="7"/>
      <c r="I64" s="8"/>
      <c r="J64" s="8" t="s">
        <v>103</v>
      </c>
      <c r="K64" s="8" t="s">
        <v>104</v>
      </c>
      <c r="L64" s="9"/>
    </row>
    <row r="65" customFormat="false" ht="12" hidden="false" customHeight="false" outlineLevel="0" collapsed="false">
      <c r="A65" s="7" t="s">
        <v>28</v>
      </c>
      <c r="B65" s="8" t="s">
        <v>103</v>
      </c>
      <c r="C65" s="35" t="n">
        <v>-428.717222222222</v>
      </c>
      <c r="D65" s="35" t="n">
        <v>-545.567222222222</v>
      </c>
      <c r="E65" s="68" t="n">
        <f aca="false">C65-D65</f>
        <v>116.85</v>
      </c>
      <c r="H65" s="7" t="s">
        <v>28</v>
      </c>
      <c r="I65" s="8" t="s">
        <v>103</v>
      </c>
      <c r="J65" s="35" t="n">
        <v>-624.467777777778</v>
      </c>
      <c r="K65" s="35" t="n">
        <v>-707.270833333333</v>
      </c>
      <c r="L65" s="68" t="n">
        <f aca="false">J65-K65</f>
        <v>82.8030555555558</v>
      </c>
    </row>
    <row r="66" customFormat="false" ht="12" hidden="false" customHeight="false" outlineLevel="0" collapsed="false">
      <c r="A66" s="7"/>
      <c r="B66" s="8" t="s">
        <v>104</v>
      </c>
      <c r="C66" s="35" t="n">
        <v>-450.259722222222</v>
      </c>
      <c r="D66" s="35" t="n">
        <v>-844.305</v>
      </c>
      <c r="E66" s="68" t="n">
        <f aca="false">C66-D66</f>
        <v>394.045277777778</v>
      </c>
      <c r="H66" s="7"/>
      <c r="I66" s="8" t="s">
        <v>104</v>
      </c>
      <c r="J66" s="35" t="n">
        <v>-1549</v>
      </c>
      <c r="K66" s="35" t="n">
        <v>-1576</v>
      </c>
      <c r="L66" s="68" t="n">
        <f aca="false">J66-K66</f>
        <v>27</v>
      </c>
    </row>
    <row r="67" customFormat="false" ht="12" hidden="false" customHeight="false" outlineLevel="0" collapsed="false">
      <c r="A67" s="7"/>
      <c r="B67" s="8" t="s">
        <v>102</v>
      </c>
      <c r="C67" s="33" t="n">
        <f aca="false">C65-C66</f>
        <v>21.5425</v>
      </c>
      <c r="D67" s="33" t="n">
        <f aca="false">D65-D66</f>
        <v>298.737777777778</v>
      </c>
      <c r="E67" s="68" t="n">
        <f aca="false">C65-D66</f>
        <v>415.587777777778</v>
      </c>
      <c r="H67" s="7"/>
      <c r="I67" s="8" t="s">
        <v>102</v>
      </c>
      <c r="J67" s="33" t="n">
        <f aca="false">J65-J66</f>
        <v>924.532222222223</v>
      </c>
      <c r="K67" s="33" t="n">
        <f aca="false">K65-K66</f>
        <v>868.729166666667</v>
      </c>
      <c r="L67" s="68" t="n">
        <f aca="false">J65-K66</f>
        <v>951.532222222223</v>
      </c>
    </row>
    <row r="68" customFormat="false" ht="12" hidden="false" customHeight="false" outlineLevel="0" collapsed="false">
      <c r="A68" s="7"/>
      <c r="B68" s="8"/>
      <c r="C68" s="74" t="n">
        <f aca="false">D67+E66</f>
        <v>692.783055555556</v>
      </c>
      <c r="D68" s="75" t="s">
        <v>105</v>
      </c>
      <c r="E68" s="76" t="n">
        <f aca="false">E67</f>
        <v>415.587777777778</v>
      </c>
      <c r="H68" s="7"/>
      <c r="I68" s="8"/>
      <c r="J68" s="74" t="n">
        <f aca="false">K67+L66</f>
        <v>895.729166666667</v>
      </c>
      <c r="K68" s="75" t="s">
        <v>107</v>
      </c>
      <c r="L68" s="76" t="n">
        <f aca="false">L67</f>
        <v>951.532222222223</v>
      </c>
    </row>
    <row r="69" customFormat="false" ht="12" hidden="false" customHeight="false" outlineLevel="0" collapsed="false">
      <c r="A69" s="7"/>
      <c r="B69" s="8"/>
      <c r="C69" s="8"/>
      <c r="D69" s="8"/>
      <c r="E69" s="9"/>
      <c r="H69" s="7"/>
      <c r="I69" s="8"/>
      <c r="J69" s="8"/>
      <c r="K69" s="8"/>
      <c r="L69" s="9"/>
    </row>
    <row r="70" customFormat="false" ht="12" hidden="false" customHeight="false" outlineLevel="0" collapsed="false">
      <c r="A70" s="7"/>
      <c r="B70" s="8"/>
      <c r="C70" s="8"/>
      <c r="D70" s="77" t="s">
        <v>115</v>
      </c>
      <c r="E70" s="9"/>
      <c r="H70" s="7"/>
      <c r="I70" s="8"/>
      <c r="J70" s="8"/>
      <c r="K70" s="77" t="s">
        <v>115</v>
      </c>
      <c r="L70" s="9"/>
    </row>
    <row r="71" customFormat="false" ht="12" hidden="false" customHeight="false" outlineLevel="0" collapsed="false">
      <c r="A71" s="7"/>
      <c r="B71" s="8"/>
      <c r="C71" s="8"/>
      <c r="D71" s="8"/>
      <c r="E71" s="9"/>
      <c r="H71" s="7"/>
      <c r="I71" s="8"/>
      <c r="J71" s="8"/>
      <c r="K71" s="8"/>
      <c r="L71" s="9"/>
    </row>
    <row r="72" customFormat="false" ht="12" hidden="false" customHeight="false" outlineLevel="0" collapsed="false">
      <c r="A72" s="7"/>
      <c r="B72" s="8"/>
      <c r="C72" s="8"/>
      <c r="D72" s="8" t="s">
        <v>29</v>
      </c>
      <c r="E72" s="9" t="s">
        <v>102</v>
      </c>
      <c r="H72" s="7"/>
      <c r="I72" s="8"/>
      <c r="J72" s="8"/>
      <c r="K72" s="8" t="s">
        <v>29</v>
      </c>
      <c r="L72" s="9" t="s">
        <v>102</v>
      </c>
    </row>
    <row r="73" customFormat="false" ht="12" hidden="false" customHeight="false" outlineLevel="0" collapsed="false">
      <c r="A73" s="7"/>
      <c r="B73" s="8"/>
      <c r="C73" s="8" t="s">
        <v>103</v>
      </c>
      <c r="D73" s="8" t="s">
        <v>104</v>
      </c>
      <c r="E73" s="9"/>
      <c r="H73" s="7"/>
      <c r="I73" s="8"/>
      <c r="J73" s="8" t="s">
        <v>103</v>
      </c>
      <c r="K73" s="8" t="s">
        <v>104</v>
      </c>
      <c r="L73" s="9"/>
    </row>
    <row r="74" customFormat="false" ht="12" hidden="false" customHeight="false" outlineLevel="0" collapsed="false">
      <c r="A74" s="7" t="s">
        <v>28</v>
      </c>
      <c r="B74" s="8" t="s">
        <v>103</v>
      </c>
      <c r="C74" s="35" t="n">
        <v>-444.076944444444</v>
      </c>
      <c r="D74" s="35" t="n">
        <v>-686.146388888889</v>
      </c>
      <c r="E74" s="68" t="n">
        <f aca="false">C74-D74</f>
        <v>242.069444444444</v>
      </c>
      <c r="H74" s="7" t="s">
        <v>28</v>
      </c>
      <c r="I74" s="8" t="s">
        <v>103</v>
      </c>
      <c r="J74" s="35" t="n">
        <v>-980.334722222222</v>
      </c>
      <c r="K74" s="35" t="n">
        <v>-1108.76555555556</v>
      </c>
      <c r="L74" s="68" t="n">
        <f aca="false">J74-K74</f>
        <v>128.430833333333</v>
      </c>
    </row>
    <row r="75" customFormat="false" ht="12" hidden="false" customHeight="false" outlineLevel="0" collapsed="false">
      <c r="A75" s="7"/>
      <c r="B75" s="8" t="s">
        <v>104</v>
      </c>
      <c r="C75" s="35" t="n">
        <v>-461.952222222222</v>
      </c>
      <c r="D75" s="35" t="n">
        <v>-1052.52972222222</v>
      </c>
      <c r="E75" s="68" t="n">
        <f aca="false">C75-D75</f>
        <v>590.5775</v>
      </c>
      <c r="H75" s="7"/>
      <c r="I75" s="8" t="s">
        <v>104</v>
      </c>
      <c r="J75" s="35" t="n">
        <v>-1927.22861111111</v>
      </c>
      <c r="K75" s="35" t="n">
        <v>-2000.72388888889</v>
      </c>
      <c r="L75" s="68" t="n">
        <f aca="false">J75-K75</f>
        <v>73.4952777777767</v>
      </c>
    </row>
    <row r="76" customFormat="false" ht="12" hidden="false" customHeight="false" outlineLevel="0" collapsed="false">
      <c r="A76" s="7"/>
      <c r="B76" s="8" t="s">
        <v>102</v>
      </c>
      <c r="C76" s="33" t="n">
        <f aca="false">C74-C75</f>
        <v>17.8752777777777</v>
      </c>
      <c r="D76" s="33" t="n">
        <f aca="false">D74-D75</f>
        <v>366.383333333334</v>
      </c>
      <c r="E76" s="68" t="n">
        <f aca="false">C74-D75</f>
        <v>608.452777777778</v>
      </c>
      <c r="H76" s="7"/>
      <c r="I76" s="8" t="s">
        <v>102</v>
      </c>
      <c r="J76" s="33" t="n">
        <f aca="false">J74-J75</f>
        <v>946.893888888889</v>
      </c>
      <c r="K76" s="33" t="n">
        <f aca="false">K74-K75</f>
        <v>891.958333333333</v>
      </c>
      <c r="L76" s="68" t="n">
        <f aca="false">J74-K75</f>
        <v>1020.38916666667</v>
      </c>
    </row>
    <row r="77" customFormat="false" ht="12" hidden="false" customHeight="false" outlineLevel="0" collapsed="false">
      <c r="A77" s="7"/>
      <c r="B77" s="8"/>
      <c r="C77" s="74" t="n">
        <f aca="false">D76+E75</f>
        <v>956.960833333334</v>
      </c>
      <c r="D77" s="75" t="s">
        <v>109</v>
      </c>
      <c r="E77" s="76" t="n">
        <f aca="false">E76</f>
        <v>608.452777777778</v>
      </c>
      <c r="H77" s="7"/>
      <c r="I77" s="8"/>
      <c r="J77" s="74" t="n">
        <f aca="false">K76+L75</f>
        <v>965.45361111111</v>
      </c>
      <c r="K77" s="75" t="s">
        <v>116</v>
      </c>
      <c r="L77" s="76" t="n">
        <f aca="false">L76</f>
        <v>1020.38916666667</v>
      </c>
    </row>
    <row r="78" customFormat="false" ht="12" hidden="false" customHeight="false" outlineLevel="0" collapsed="false">
      <c r="A78" s="7"/>
      <c r="B78" s="8"/>
      <c r="C78" s="8"/>
      <c r="D78" s="8"/>
      <c r="E78" s="9"/>
      <c r="H78" s="7"/>
      <c r="I78" s="8"/>
      <c r="J78" s="8"/>
      <c r="K78" s="8"/>
      <c r="L78" s="9"/>
    </row>
    <row r="79" customFormat="false" ht="12" hidden="false" customHeight="false" outlineLevel="0" collapsed="false">
      <c r="A79" s="7"/>
      <c r="B79" s="8"/>
      <c r="C79" s="8"/>
      <c r="D79" s="77" t="s">
        <v>117</v>
      </c>
      <c r="E79" s="9"/>
      <c r="H79" s="7"/>
      <c r="I79" s="8"/>
      <c r="J79" s="8"/>
      <c r="K79" s="77" t="s">
        <v>117</v>
      </c>
      <c r="L79" s="9"/>
    </row>
    <row r="80" customFormat="false" ht="12" hidden="false" customHeight="false" outlineLevel="0" collapsed="false">
      <c r="A80" s="7"/>
      <c r="B80" s="8"/>
      <c r="C80" s="8"/>
      <c r="D80" s="8"/>
      <c r="E80" s="9"/>
      <c r="H80" s="7"/>
      <c r="I80" s="8"/>
      <c r="J80" s="8"/>
      <c r="K80" s="8"/>
      <c r="L80" s="9"/>
    </row>
    <row r="81" customFormat="false" ht="12" hidden="false" customHeight="false" outlineLevel="0" collapsed="false">
      <c r="A81" s="7"/>
      <c r="B81" s="8"/>
      <c r="C81" s="8"/>
      <c r="D81" s="8" t="s">
        <v>29</v>
      </c>
      <c r="E81" s="9" t="s">
        <v>102</v>
      </c>
      <c r="H81" s="7"/>
      <c r="I81" s="8"/>
      <c r="J81" s="8"/>
      <c r="K81" s="8" t="s">
        <v>29</v>
      </c>
      <c r="L81" s="9" t="s">
        <v>102</v>
      </c>
    </row>
    <row r="82" customFormat="false" ht="12" hidden="false" customHeight="false" outlineLevel="0" collapsed="false">
      <c r="A82" s="7"/>
      <c r="B82" s="8"/>
      <c r="C82" s="8" t="s">
        <v>103</v>
      </c>
      <c r="D82" s="8" t="s">
        <v>104</v>
      </c>
      <c r="E82" s="9"/>
      <c r="H82" s="7"/>
      <c r="I82" s="8"/>
      <c r="J82" s="8" t="s">
        <v>103</v>
      </c>
      <c r="K82" s="8" t="s">
        <v>104</v>
      </c>
      <c r="L82" s="9"/>
    </row>
    <row r="83" customFormat="false" ht="12" hidden="false" customHeight="false" outlineLevel="0" collapsed="false">
      <c r="A83" s="7" t="s">
        <v>28</v>
      </c>
      <c r="B83" s="8" t="s">
        <v>103</v>
      </c>
      <c r="C83" s="35" t="n">
        <v>-450.259722222222</v>
      </c>
      <c r="D83" s="35" t="n">
        <v>-844.305</v>
      </c>
      <c r="E83" s="68" t="n">
        <f aca="false">C83-D83</f>
        <v>394.045277777778</v>
      </c>
      <c r="H83" s="7" t="s">
        <v>28</v>
      </c>
      <c r="I83" s="8" t="s">
        <v>103</v>
      </c>
      <c r="J83" s="35" t="n">
        <v>-1549</v>
      </c>
      <c r="K83" s="35" t="n">
        <v>-1576</v>
      </c>
      <c r="L83" s="68" t="n">
        <f aca="false">J83-K83</f>
        <v>27</v>
      </c>
    </row>
    <row r="84" customFormat="false" ht="12" hidden="false" customHeight="false" outlineLevel="0" collapsed="false">
      <c r="A84" s="7"/>
      <c r="B84" s="8" t="s">
        <v>104</v>
      </c>
      <c r="C84" s="35" t="n">
        <v>-553.966944444444</v>
      </c>
      <c r="D84" s="35" t="n">
        <v>-1229.14972222222</v>
      </c>
      <c r="E84" s="68" t="n">
        <f aca="false">C84-D84</f>
        <v>675.182777777778</v>
      </c>
      <c r="H84" s="7"/>
      <c r="I84" s="8" t="s">
        <v>104</v>
      </c>
      <c r="J84" s="35" t="n">
        <v>-2311.92527777778</v>
      </c>
      <c r="K84" s="35" t="n">
        <v>-2463.81805555556</v>
      </c>
      <c r="L84" s="68" t="n">
        <f aca="false">J84-K84</f>
        <v>151.892777777778</v>
      </c>
    </row>
    <row r="85" customFormat="false" ht="12" hidden="false" customHeight="false" outlineLevel="0" collapsed="false">
      <c r="A85" s="7"/>
      <c r="B85" s="8" t="s">
        <v>102</v>
      </c>
      <c r="C85" s="33" t="n">
        <f aca="false">C83-C84</f>
        <v>103.707222222222</v>
      </c>
      <c r="D85" s="33" t="n">
        <f aca="false">D83-D84</f>
        <v>384.844722222222</v>
      </c>
      <c r="E85" s="68" t="n">
        <f aca="false">C83-D84</f>
        <v>778.89</v>
      </c>
      <c r="H85" s="7"/>
      <c r="I85" s="8" t="s">
        <v>102</v>
      </c>
      <c r="J85" s="33" t="n">
        <f aca="false">J83-J84</f>
        <v>762.925277777777</v>
      </c>
      <c r="K85" s="33" t="n">
        <f aca="false">K83-K84</f>
        <v>887.818055555556</v>
      </c>
      <c r="L85" s="68" t="n">
        <f aca="false">J83-K84</f>
        <v>914.818055555556</v>
      </c>
    </row>
    <row r="86" customFormat="false" ht="12" hidden="false" customHeight="false" outlineLevel="0" collapsed="false">
      <c r="A86" s="7"/>
      <c r="B86" s="8"/>
      <c r="C86" s="74" t="n">
        <f aca="false">D85+E84</f>
        <v>1060.0275</v>
      </c>
      <c r="D86" s="75" t="s">
        <v>105</v>
      </c>
      <c r="E86" s="76" t="n">
        <f aca="false">E85</f>
        <v>778.89</v>
      </c>
      <c r="H86" s="7"/>
      <c r="I86" s="8"/>
      <c r="J86" s="74" t="n">
        <f aca="false">K85+L84</f>
        <v>1039.71083333333</v>
      </c>
      <c r="K86" s="75" t="s">
        <v>105</v>
      </c>
      <c r="L86" s="76" t="n">
        <f aca="false">L85</f>
        <v>914.818055555556</v>
      </c>
    </row>
    <row r="87" customFormat="false" ht="12" hidden="false" customHeight="false" outlineLevel="0" collapsed="false">
      <c r="A87" s="7"/>
      <c r="B87" s="8"/>
      <c r="C87" s="8"/>
      <c r="D87" s="77" t="s">
        <v>118</v>
      </c>
      <c r="E87" s="9"/>
      <c r="H87" s="7"/>
      <c r="I87" s="8"/>
      <c r="J87" s="8"/>
      <c r="K87" s="77" t="s">
        <v>118</v>
      </c>
      <c r="L87" s="9"/>
    </row>
    <row r="88" customFormat="false" ht="12" hidden="false" customHeight="false" outlineLevel="0" collapsed="false">
      <c r="A88" s="7"/>
      <c r="B88" s="8"/>
      <c r="C88" s="8"/>
      <c r="D88" s="8"/>
      <c r="E88" s="9"/>
      <c r="H88" s="7"/>
      <c r="I88" s="8"/>
      <c r="J88" s="8"/>
      <c r="K88" s="8"/>
      <c r="L88" s="9"/>
    </row>
    <row r="89" customFormat="false" ht="12" hidden="false" customHeight="false" outlineLevel="0" collapsed="false">
      <c r="A89" s="7"/>
      <c r="B89" s="8"/>
      <c r="C89" s="8"/>
      <c r="D89" s="8" t="s">
        <v>29</v>
      </c>
      <c r="E89" s="9" t="s">
        <v>102</v>
      </c>
      <c r="H89" s="7"/>
      <c r="I89" s="8"/>
      <c r="J89" s="8"/>
      <c r="K89" s="8" t="s">
        <v>29</v>
      </c>
      <c r="L89" s="9" t="s">
        <v>102</v>
      </c>
    </row>
    <row r="90" customFormat="false" ht="12" hidden="false" customHeight="false" outlineLevel="0" collapsed="false">
      <c r="A90" s="7"/>
      <c r="B90" s="8"/>
      <c r="C90" s="8" t="s">
        <v>103</v>
      </c>
      <c r="D90" s="8" t="s">
        <v>104</v>
      </c>
      <c r="E90" s="9"/>
      <c r="H90" s="7"/>
      <c r="I90" s="8"/>
      <c r="J90" s="8" t="s">
        <v>103</v>
      </c>
      <c r="K90" s="8" t="s">
        <v>104</v>
      </c>
      <c r="L90" s="9"/>
    </row>
    <row r="91" customFormat="false" ht="12" hidden="false" customHeight="false" outlineLevel="0" collapsed="false">
      <c r="A91" s="7" t="s">
        <v>28</v>
      </c>
      <c r="B91" s="8" t="s">
        <v>103</v>
      </c>
      <c r="C91" s="35" t="n">
        <v>-461.952222222222</v>
      </c>
      <c r="D91" s="35" t="n">
        <v>-1052.52972222222</v>
      </c>
      <c r="E91" s="68" t="n">
        <f aca="false">C91-D91</f>
        <v>590.5775</v>
      </c>
      <c r="H91" s="7" t="s">
        <v>28</v>
      </c>
      <c r="I91" s="8" t="s">
        <v>103</v>
      </c>
      <c r="J91" s="35" t="n">
        <v>-1927.22861111111</v>
      </c>
      <c r="K91" s="35" t="n">
        <v>-2000.72388888889</v>
      </c>
      <c r="L91" s="68" t="n">
        <f aca="false">J91-K91</f>
        <v>73.4952777777767</v>
      </c>
    </row>
    <row r="92" customFormat="false" ht="12" hidden="false" customHeight="false" outlineLevel="0" collapsed="false">
      <c r="A92" s="7"/>
      <c r="B92" s="8" t="s">
        <v>104</v>
      </c>
      <c r="C92" s="35" t="n">
        <v>-731.248055555556</v>
      </c>
      <c r="D92" s="35" t="n">
        <v>-1366.89944444444</v>
      </c>
      <c r="E92" s="68" t="n">
        <f aca="false">C92-D92</f>
        <v>635.651388888889</v>
      </c>
      <c r="H92" s="7"/>
      <c r="I92" s="8" t="s">
        <v>104</v>
      </c>
      <c r="J92" s="35" t="n">
        <v>-2679.05166666667</v>
      </c>
      <c r="K92" s="35" t="n">
        <v>-2865.21944444445</v>
      </c>
      <c r="L92" s="68" t="n">
        <f aca="false">J92-K92</f>
        <v>186.167777777779</v>
      </c>
    </row>
    <row r="93" customFormat="false" ht="12" hidden="false" customHeight="false" outlineLevel="0" collapsed="false">
      <c r="A93" s="7"/>
      <c r="B93" s="8" t="s">
        <v>102</v>
      </c>
      <c r="C93" s="33" t="n">
        <f aca="false">C91-C92</f>
        <v>269.295833333334</v>
      </c>
      <c r="D93" s="33" t="n">
        <f aca="false">D91-D92</f>
        <v>314.369722222222</v>
      </c>
      <c r="E93" s="68" t="n">
        <f aca="false">C91-D92</f>
        <v>904.947222222222</v>
      </c>
      <c r="H93" s="7"/>
      <c r="I93" s="8" t="s">
        <v>102</v>
      </c>
      <c r="J93" s="33" t="n">
        <f aca="false">J91-J92</f>
        <v>751.823055555555</v>
      </c>
      <c r="K93" s="33" t="n">
        <f aca="false">K91-K92</f>
        <v>864.495555555557</v>
      </c>
      <c r="L93" s="68" t="n">
        <f aca="false">J91-K92</f>
        <v>937.990833333334</v>
      </c>
    </row>
    <row r="94" customFormat="false" ht="12" hidden="false" customHeight="false" outlineLevel="0" collapsed="false">
      <c r="A94" s="7"/>
      <c r="B94" s="8"/>
      <c r="C94" s="74" t="n">
        <f aca="false">D93+E92</f>
        <v>950.02111111111</v>
      </c>
      <c r="D94" s="75" t="s">
        <v>113</v>
      </c>
      <c r="E94" s="76" t="n">
        <f aca="false">E93</f>
        <v>904.947222222222</v>
      </c>
      <c r="H94" s="7"/>
      <c r="I94" s="8"/>
      <c r="J94" s="74" t="n">
        <f aca="false">K93+L92</f>
        <v>1050.66333333334</v>
      </c>
      <c r="K94" s="75" t="s">
        <v>113</v>
      </c>
      <c r="L94" s="76" t="n">
        <f aca="false">L93</f>
        <v>937.990833333334</v>
      </c>
    </row>
    <row r="95" customFormat="false" ht="13" hidden="false" customHeight="false" outlineLevel="0" collapsed="false">
      <c r="A95" s="13"/>
      <c r="B95" s="14"/>
      <c r="C95" s="14"/>
      <c r="D95" s="14"/>
      <c r="E95" s="15"/>
      <c r="H95" s="13"/>
      <c r="I95" s="14"/>
      <c r="J95" s="14"/>
      <c r="K95" s="14"/>
      <c r="L95" s="1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Q37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E36" activeCellId="0" sqref="E36"/>
    </sheetView>
  </sheetViews>
  <sheetFormatPr defaultColWidth="8.82421875" defaultRowHeight="12" customHeight="false" zeroHeight="false" outlineLevelRow="0" outlineLevelCol="0"/>
  <cols>
    <col collapsed="false" customWidth="true" hidden="false" outlineLevel="0" max="2" min="2" style="0" width="9.82"/>
    <col collapsed="false" customWidth="true" hidden="false" outlineLevel="0" max="3" min="3" style="0" width="6.99"/>
    <col collapsed="false" customWidth="true" hidden="false" outlineLevel="0" max="4" min="4" style="0" width="5.32"/>
    <col collapsed="false" customWidth="true" hidden="false" outlineLevel="0" max="5" min="5" style="0" width="7.66"/>
    <col collapsed="false" customWidth="true" hidden="false" outlineLevel="0" max="6" min="6" style="0" width="6.32"/>
    <col collapsed="false" customWidth="true" hidden="false" outlineLevel="0" max="7" min="7" style="0" width="4.82"/>
    <col collapsed="false" customWidth="true" hidden="false" outlineLevel="0" max="8" min="8" style="0" width="7.16"/>
    <col collapsed="false" customWidth="true" hidden="false" outlineLevel="0" max="9" min="9" style="0" width="6.99"/>
    <col collapsed="false" customWidth="true" hidden="false" outlineLevel="0" max="10" min="10" style="0" width="4.99"/>
    <col collapsed="false" customWidth="true" hidden="false" outlineLevel="0" max="11" min="11" style="0" width="7.5"/>
    <col collapsed="false" customWidth="true" hidden="false" outlineLevel="0" max="12" min="12" style="0" width="6.32"/>
    <col collapsed="false" customWidth="true" hidden="false" outlineLevel="0" max="13" min="13" style="0" width="5.66"/>
    <col collapsed="false" customWidth="true" hidden="false" outlineLevel="0" max="14" min="14" style="0" width="6.32"/>
    <col collapsed="false" customWidth="true" hidden="false" outlineLevel="0" max="15" min="15" style="0" width="6.15"/>
    <col collapsed="false" customWidth="true" hidden="false" outlineLevel="0" max="16" min="16" style="0" width="5.32"/>
    <col collapsed="false" customWidth="true" hidden="false" outlineLevel="0" max="17" min="17" style="0" width="5.99"/>
  </cols>
  <sheetData>
    <row r="5" customFormat="false" ht="12" hidden="false" customHeight="false" outlineLevel="0" collapsed="false">
      <c r="E5" s="1" t="s">
        <v>119</v>
      </c>
    </row>
    <row r="7" customFormat="false" ht="12" hidden="false" customHeight="false" outlineLevel="0" collapsed="false">
      <c r="H7" s="1" t="s">
        <v>1</v>
      </c>
    </row>
    <row r="8" customFormat="false" ht="13" hidden="false" customHeight="false" outlineLevel="0" collapsed="false">
      <c r="F8" s="79"/>
    </row>
    <row r="9" customFormat="false" ht="13" hidden="false" customHeight="false" outlineLevel="0" collapsed="false">
      <c r="B9" s="18" t="s">
        <v>2</v>
      </c>
      <c r="C9" s="18" t="s">
        <v>3</v>
      </c>
      <c r="D9" s="19" t="s">
        <v>4</v>
      </c>
      <c r="E9" s="20" t="s">
        <v>120</v>
      </c>
      <c r="F9" s="19" t="s">
        <v>6</v>
      </c>
      <c r="G9" s="19" t="s">
        <v>7</v>
      </c>
      <c r="H9" s="19" t="s">
        <v>8</v>
      </c>
      <c r="I9" s="18" t="s">
        <v>9</v>
      </c>
      <c r="J9" s="19" t="s">
        <v>10</v>
      </c>
      <c r="K9" s="20" t="s">
        <v>11</v>
      </c>
      <c r="L9" s="19" t="s">
        <v>12</v>
      </c>
      <c r="M9" s="19" t="s">
        <v>13</v>
      </c>
      <c r="N9" s="19" t="s">
        <v>14</v>
      </c>
      <c r="O9" s="18" t="s">
        <v>15</v>
      </c>
      <c r="P9" s="19" t="s">
        <v>16</v>
      </c>
      <c r="Q9" s="20" t="s">
        <v>17</v>
      </c>
    </row>
    <row r="10" customFormat="false" ht="12" hidden="false" customHeight="false" outlineLevel="0" collapsed="false">
      <c r="B10" s="7" t="n">
        <v>10</v>
      </c>
      <c r="C10" s="7" t="n">
        <v>31702</v>
      </c>
      <c r="D10" s="8" t="n">
        <v>487</v>
      </c>
      <c r="E10" s="80" t="n">
        <f aca="false">((C11-C10)/C10)/((D11-D10)/D10)</f>
        <v>-0.233840837241254</v>
      </c>
      <c r="F10" s="8" t="n">
        <v>18784</v>
      </c>
      <c r="G10" s="8" t="n">
        <v>216</v>
      </c>
      <c r="H10" s="81" t="n">
        <f aca="false">((F11-F10)/F10)/((G11-G10)/G10)</f>
        <v>-0.0574957410562181</v>
      </c>
      <c r="I10" s="7" t="n">
        <v>16407</v>
      </c>
      <c r="J10" s="8" t="n">
        <v>174</v>
      </c>
      <c r="K10" s="80" t="n">
        <f aca="false">((I11-I10)/I10)/((J11-J10)/J10)</f>
        <v>-0.0975681111720607</v>
      </c>
      <c r="L10" s="8" t="n">
        <v>21764</v>
      </c>
      <c r="M10" s="8" t="n">
        <v>246</v>
      </c>
      <c r="N10" s="81" t="n">
        <f aca="false">((L11-L10)/L10)/((M11-M10)/M10)</f>
        <v>0.474728910126815</v>
      </c>
      <c r="O10" s="7" t="n">
        <v>18685</v>
      </c>
      <c r="P10" s="8" t="n">
        <v>177</v>
      </c>
      <c r="Q10" s="80" t="n">
        <f aca="false">((O11-O10)/O10)/((P11-P10)/P10)</f>
        <v>0.244399250735884</v>
      </c>
    </row>
    <row r="11" customFormat="false" ht="12" hidden="false" customHeight="false" outlineLevel="0" collapsed="false">
      <c r="B11" s="7" t="n">
        <v>20</v>
      </c>
      <c r="C11" s="10" t="n">
        <v>31565</v>
      </c>
      <c r="D11" s="11" t="n">
        <v>496</v>
      </c>
      <c r="E11" s="80" t="n">
        <f aca="false">((C12-C11)/C11)/((D12-D11)/D11)</f>
        <v>0.238323037119172</v>
      </c>
      <c r="F11" s="11" t="n">
        <v>18709</v>
      </c>
      <c r="G11" s="11" t="n">
        <v>231</v>
      </c>
      <c r="H11" s="81" t="n">
        <f aca="false">((F12-F11)/F11)/((G12-G11)/G11)</f>
        <v>0.0392859051793255</v>
      </c>
      <c r="I11" s="10" t="n">
        <v>16361</v>
      </c>
      <c r="J11" s="11" t="n">
        <v>179</v>
      </c>
      <c r="K11" s="80" t="n">
        <f aca="false">((I12-I11)/I11)/((J12-J11)/J11)</f>
        <v>0.180520750565369</v>
      </c>
      <c r="L11" s="11" t="n">
        <v>21932</v>
      </c>
      <c r="M11" s="11" t="n">
        <v>250</v>
      </c>
      <c r="N11" s="81" t="n">
        <f aca="false">((L12-L11)/L11)/((M12-M11)/M11)</f>
        <v>0.205179646179099</v>
      </c>
      <c r="O11" s="10" t="n">
        <v>18814</v>
      </c>
      <c r="P11" s="11" t="n">
        <v>182</v>
      </c>
      <c r="Q11" s="80" t="n">
        <f aca="false">((O12-O11)/O11)/((P12-P11)/P11)</f>
        <v>0.312781262180646</v>
      </c>
    </row>
    <row r="12" customFormat="false" ht="12" hidden="false" customHeight="false" outlineLevel="0" collapsed="false">
      <c r="B12" s="7" t="n">
        <v>30</v>
      </c>
      <c r="C12" s="7" t="n">
        <v>31656</v>
      </c>
      <c r="D12" s="8" t="n">
        <v>502</v>
      </c>
      <c r="E12" s="80" t="n">
        <f aca="false">((C13-C12)/C12)/((D13-D12)/D12)</f>
        <v>0.159673385445261</v>
      </c>
      <c r="F12" s="8" t="n">
        <v>18744</v>
      </c>
      <c r="G12" s="8" t="n">
        <v>242</v>
      </c>
      <c r="H12" s="81" t="n">
        <f aca="false">((F13-F12)/F12)/((G13-G12)/G12)</f>
        <v>0.0307187955318116</v>
      </c>
      <c r="I12" s="7" t="n">
        <v>16394</v>
      </c>
      <c r="J12" s="8" t="n">
        <v>181</v>
      </c>
      <c r="K12" s="80" t="n">
        <f aca="false">((I13-I12)/I12)/((J13-J12)/J12)</f>
        <v>0.0951192274847271</v>
      </c>
      <c r="L12" s="8" t="n">
        <v>22040</v>
      </c>
      <c r="M12" s="8" t="n">
        <v>256</v>
      </c>
      <c r="N12" s="81" t="n">
        <f aca="false">((L13-L12)/L12)/((M13-M12)/M12)</f>
        <v>-0.20960237584557</v>
      </c>
      <c r="O12" s="7" t="n">
        <v>18911</v>
      </c>
      <c r="P12" s="8" t="n">
        <v>185</v>
      </c>
      <c r="Q12" s="80" t="n">
        <f aca="false">((O13-O12)/O12)/((P13-P12)/P12)</f>
        <v>3.05219184601555</v>
      </c>
    </row>
    <row r="13" customFormat="false" ht="12" hidden="false" customHeight="false" outlineLevel="0" collapsed="false">
      <c r="B13" s="7" t="n">
        <v>40</v>
      </c>
      <c r="C13" s="7" t="n">
        <v>32240</v>
      </c>
      <c r="D13" s="8" t="n">
        <v>560</v>
      </c>
      <c r="E13" s="80" t="n">
        <f aca="false">((C14-C13)/C13)/((D14-D13)/D13)</f>
        <v>-0.488523573200993</v>
      </c>
      <c r="F13" s="8" t="n">
        <v>18882</v>
      </c>
      <c r="G13" s="8" t="n">
        <v>300</v>
      </c>
      <c r="H13" s="81" t="n">
        <f aca="false">((F14-F13)/F13)/((G14-G13)/G13)</f>
        <v>-0.0818003630677653</v>
      </c>
      <c r="I13" s="7" t="n">
        <v>16506</v>
      </c>
      <c r="J13" s="8" t="n">
        <v>194</v>
      </c>
      <c r="K13" s="80" t="n">
        <f aca="false">((I14-I13)/I13)/((J14-J13)/J13)</f>
        <v>5.05391978674421</v>
      </c>
      <c r="L13" s="8" t="n">
        <v>22437</v>
      </c>
      <c r="M13" s="8" t="n">
        <v>234</v>
      </c>
      <c r="N13" s="81" t="n">
        <f aca="false">((L14-L13)/L13)/((M14-M13)/M13)</f>
        <v>0.185004970438968</v>
      </c>
      <c r="O13" s="7" t="n">
        <v>19223</v>
      </c>
      <c r="P13" s="8" t="n">
        <v>186</v>
      </c>
      <c r="Q13" s="80" t="n">
        <f aca="false">((O14-O13)/O13)/((P14-P13)/P13)</f>
        <v>0.566040680434896</v>
      </c>
    </row>
    <row r="14" customFormat="false" ht="12" hidden="false" customHeight="false" outlineLevel="0" collapsed="false">
      <c r="B14" s="7" t="n">
        <v>50</v>
      </c>
      <c r="C14" s="7" t="n">
        <v>31115</v>
      </c>
      <c r="D14" s="8" t="n">
        <v>600</v>
      </c>
      <c r="E14" s="80" t="n">
        <f aca="false">((C15-C14)/C14)/((D15-D14)/D14)</f>
        <v>-0.498794793507954</v>
      </c>
      <c r="F14" s="8" t="n">
        <v>18362</v>
      </c>
      <c r="G14" s="8" t="n">
        <v>401</v>
      </c>
      <c r="H14" s="81" t="n">
        <f aca="false">((F15-F14)/F14)/((G15-G14)/G14)</f>
        <v>-0.0855694347858872</v>
      </c>
      <c r="I14" s="7" t="n">
        <v>16076</v>
      </c>
      <c r="J14" s="8" t="n">
        <v>193</v>
      </c>
      <c r="K14" s="80" t="n">
        <f aca="false">((I15-I14)/I14)/((J15-J14)/J14)</f>
        <v>-7.80355809902961</v>
      </c>
      <c r="L14" s="8" t="n">
        <v>22029</v>
      </c>
      <c r="M14" s="8" t="n">
        <v>211</v>
      </c>
      <c r="N14" s="81" t="n">
        <f aca="false">((L15-L14)/L14)/((M15-M14)/M14)</f>
        <v>0.778235507739797</v>
      </c>
      <c r="O14" s="7" t="n">
        <v>18872</v>
      </c>
      <c r="P14" s="8" t="n">
        <v>180</v>
      </c>
      <c r="Q14" s="80" t="n">
        <f aca="false">((O15-O14)/O14)/((P15-P14)/P14)</f>
        <v>1.75816023738872</v>
      </c>
    </row>
    <row r="15" customFormat="false" ht="13" hidden="false" customHeight="false" outlineLevel="0" collapsed="false">
      <c r="B15" s="13" t="n">
        <v>60</v>
      </c>
      <c r="C15" s="13" t="n">
        <v>29563</v>
      </c>
      <c r="D15" s="14" t="n">
        <v>660</v>
      </c>
      <c r="E15" s="82"/>
      <c r="F15" s="14" t="n">
        <v>17547</v>
      </c>
      <c r="G15" s="14" t="n">
        <v>609</v>
      </c>
      <c r="H15" s="83"/>
      <c r="I15" s="13" t="n">
        <v>15426</v>
      </c>
      <c r="J15" s="14" t="n">
        <v>194</v>
      </c>
      <c r="K15" s="82"/>
      <c r="L15" s="14" t="n">
        <v>21379</v>
      </c>
      <c r="M15" s="14" t="n">
        <v>203</v>
      </c>
      <c r="N15" s="83"/>
      <c r="O15" s="13" t="n">
        <v>18319</v>
      </c>
      <c r="P15" s="14" t="n">
        <v>177</v>
      </c>
      <c r="Q15" s="82"/>
    </row>
    <row r="16" customFormat="false" ht="13" hidden="false" customHeight="false" outlineLevel="0" collapsed="false">
      <c r="B16" s="18" t="s">
        <v>18</v>
      </c>
      <c r="C16" s="18"/>
      <c r="D16" s="19"/>
      <c r="E16" s="84" t="n">
        <f aca="false">AVERAGE(E10:E14)</f>
        <v>-0.164632556277154</v>
      </c>
      <c r="F16" s="19"/>
      <c r="G16" s="19"/>
      <c r="H16" s="85" t="n">
        <f aca="false">AVERAGE(H10:H14)</f>
        <v>-0.0309721676397467</v>
      </c>
      <c r="I16" s="18"/>
      <c r="J16" s="19"/>
      <c r="K16" s="84" t="n">
        <f aca="false">AVERAGE(K10:K14)</f>
        <v>-0.514313289081472</v>
      </c>
      <c r="L16" s="19"/>
      <c r="M16" s="19"/>
      <c r="N16" s="85" t="n">
        <f aca="false">AVERAGE(N10:N14)</f>
        <v>0.286709331727822</v>
      </c>
      <c r="O16" s="18"/>
      <c r="P16" s="19"/>
      <c r="Q16" s="84" t="n">
        <f aca="false">AVERAGE(Q10:Q14)</f>
        <v>1.18671465535114</v>
      </c>
    </row>
    <row r="17" customFormat="false" ht="12" hidden="false" customHeight="false" outlineLevel="0" collapsed="false">
      <c r="B17" s="8"/>
      <c r="C17" s="8"/>
      <c r="D17" s="8"/>
      <c r="E17" s="81"/>
      <c r="F17" s="8"/>
      <c r="G17" s="8"/>
      <c r="H17" s="81"/>
      <c r="I17" s="8"/>
      <c r="J17" s="8"/>
      <c r="K17" s="81"/>
      <c r="L17" s="8"/>
      <c r="M17" s="8"/>
      <c r="N17" s="81"/>
      <c r="O17" s="8"/>
      <c r="P17" s="8"/>
      <c r="Q17" s="81"/>
    </row>
    <row r="19" customFormat="false" ht="12" hidden="false" customHeight="false" outlineLevel="0" collapsed="false">
      <c r="H19" s="1" t="s">
        <v>19</v>
      </c>
    </row>
    <row r="20" customFormat="false" ht="13" hidden="false" customHeight="false" outlineLevel="0" collapsed="false">
      <c r="F20" s="1"/>
    </row>
    <row r="21" customFormat="false" ht="13" hidden="false" customHeight="false" outlineLevel="0" collapsed="false">
      <c r="B21" s="18" t="s">
        <v>121</v>
      </c>
      <c r="C21" s="18" t="s">
        <v>3</v>
      </c>
      <c r="D21" s="19" t="s">
        <v>4</v>
      </c>
      <c r="E21" s="20" t="s">
        <v>5</v>
      </c>
      <c r="F21" s="19" t="s">
        <v>6</v>
      </c>
      <c r="G21" s="19" t="s">
        <v>7</v>
      </c>
      <c r="H21" s="19" t="s">
        <v>8</v>
      </c>
      <c r="I21" s="18" t="s">
        <v>9</v>
      </c>
      <c r="J21" s="19" t="s">
        <v>10</v>
      </c>
      <c r="K21" s="20" t="s">
        <v>11</v>
      </c>
      <c r="L21" s="19" t="s">
        <v>12</v>
      </c>
      <c r="M21" s="19" t="s">
        <v>13</v>
      </c>
      <c r="N21" s="19" t="s">
        <v>14</v>
      </c>
      <c r="O21" s="18" t="s">
        <v>15</v>
      </c>
      <c r="P21" s="19" t="s">
        <v>16</v>
      </c>
      <c r="Q21" s="20" t="s">
        <v>17</v>
      </c>
    </row>
    <row r="22" customFormat="false" ht="12" hidden="false" customHeight="false" outlineLevel="0" collapsed="false">
      <c r="B22" s="7" t="n">
        <v>10</v>
      </c>
      <c r="C22" s="7" t="n">
        <v>30887</v>
      </c>
      <c r="D22" s="8" t="n">
        <v>552</v>
      </c>
      <c r="E22" s="80" t="n">
        <f aca="false">((C23-C22)/C22)/((D23-D22)/D22)</f>
        <v>-0.245552829472025</v>
      </c>
      <c r="F22" s="8" t="n">
        <v>18479</v>
      </c>
      <c r="G22" s="8" t="n">
        <v>265</v>
      </c>
      <c r="H22" s="81" t="n">
        <f aca="false">((F23-F22)/F22)/((G23-G22)/G22)</f>
        <v>-0.0670634074291008</v>
      </c>
      <c r="I22" s="7" t="n">
        <v>16135</v>
      </c>
      <c r="J22" s="8" t="n">
        <v>233</v>
      </c>
      <c r="K22" s="80" t="n">
        <f aca="false">((I23-I22)/I22)/((J23-J22)/J22)</f>
        <v>-0.0613503686865673</v>
      </c>
      <c r="L22" s="8" t="n">
        <v>20901</v>
      </c>
      <c r="M22" s="8" t="n">
        <v>274</v>
      </c>
      <c r="N22" s="81" t="n">
        <f aca="false">((L23-L22)/L22)/((M23-M22)/M22)</f>
        <v>0.983206545141381</v>
      </c>
      <c r="O22" s="7" t="n">
        <v>17990</v>
      </c>
      <c r="P22" s="8" t="n">
        <v>189</v>
      </c>
      <c r="Q22" s="80" t="n">
        <f aca="false">((O23-O22)/O22)/((P23-P22)/P22)</f>
        <v>1.31473040578099</v>
      </c>
    </row>
    <row r="23" customFormat="false" ht="12" hidden="false" customHeight="false" outlineLevel="0" collapsed="false">
      <c r="B23" s="7" t="n">
        <v>20</v>
      </c>
      <c r="C23" s="10" t="n">
        <v>29197</v>
      </c>
      <c r="D23" s="11" t="n">
        <v>675</v>
      </c>
      <c r="E23" s="80" t="n">
        <f aca="false">((C24-C23)/C23)/((D24-D23)/D23)</f>
        <v>-0.271583912178339</v>
      </c>
      <c r="F23" s="11" t="n">
        <v>17684</v>
      </c>
      <c r="G23" s="11" t="n">
        <v>435</v>
      </c>
      <c r="H23" s="81" t="n">
        <f aca="false">((F24-F23)/F23)/((G24-G23)/G23)</f>
        <v>-0.0476053461420759</v>
      </c>
      <c r="I23" s="10" t="n">
        <v>15451</v>
      </c>
      <c r="J23" s="11" t="n">
        <v>394</v>
      </c>
      <c r="K23" s="80" t="n">
        <f aca="false">((I24-I23)/I23)/((J24-J23)/J23)</f>
        <v>-0.0904089761768877</v>
      </c>
      <c r="L23" s="11" t="n">
        <v>19851</v>
      </c>
      <c r="M23" s="11" t="n">
        <v>260</v>
      </c>
      <c r="N23" s="81" t="n">
        <f aca="false">((L24-L23)/L23)/((M24-M23)/M23)</f>
        <v>2.76686313032089</v>
      </c>
      <c r="O23" s="10" t="n">
        <v>17114</v>
      </c>
      <c r="P23" s="11" t="n">
        <v>182</v>
      </c>
      <c r="Q23" s="80" t="n">
        <f aca="false">((O24-O23)/O23)/((P24-P23)/P23)</f>
        <v>2.52039266097932</v>
      </c>
    </row>
    <row r="24" customFormat="false" ht="12" hidden="false" customHeight="false" outlineLevel="0" collapsed="false">
      <c r="B24" s="7" t="n">
        <v>30</v>
      </c>
      <c r="C24" s="7" t="n">
        <v>27012</v>
      </c>
      <c r="D24" s="8" t="n">
        <v>861</v>
      </c>
      <c r="E24" s="80" t="n">
        <f aca="false">((C25-C24)/C24)/((D25-D24)/D24)</f>
        <v>-0.55549787855961</v>
      </c>
      <c r="F24" s="8" t="n">
        <v>16368</v>
      </c>
      <c r="G24" s="8" t="n">
        <v>1115</v>
      </c>
      <c r="H24" s="81" t="n">
        <f aca="false">((F25-F24)/F24)/((G25-G24)/G24)</f>
        <v>-0.32693608314499</v>
      </c>
      <c r="I24" s="7" t="n">
        <v>14437</v>
      </c>
      <c r="J24" s="8" t="n">
        <v>680</v>
      </c>
      <c r="K24" s="80" t="n">
        <f aca="false">((I25-I24)/I24)/((J25-J24)/J24)</f>
        <v>-0.259401233618903</v>
      </c>
      <c r="L24" s="8" t="n">
        <v>19006</v>
      </c>
      <c r="M24" s="8" t="n">
        <v>256</v>
      </c>
      <c r="N24" s="81" t="n">
        <f aca="false">((L25-L24)/L24)/((M25-M24)/M24)</f>
        <v>0.62707682953921</v>
      </c>
      <c r="O24" s="7" t="n">
        <v>16403</v>
      </c>
      <c r="P24" s="8" t="n">
        <v>179</v>
      </c>
      <c r="Q24" s="80" t="n">
        <f aca="false">((O25-O24)/O24)/((P25-P24)/P24)</f>
        <v>1.58888008291166</v>
      </c>
    </row>
    <row r="25" customFormat="false" ht="12" hidden="false" customHeight="false" outlineLevel="0" collapsed="false">
      <c r="B25" s="7" t="n">
        <v>40</v>
      </c>
      <c r="C25" s="7" t="n">
        <v>24607</v>
      </c>
      <c r="D25" s="8" t="n">
        <v>999</v>
      </c>
      <c r="E25" s="80" t="n">
        <f aca="false">((C26-C25)/C25)/((D26-D25)/D25)</f>
        <v>-0.624197382858536</v>
      </c>
      <c r="F25" s="8" t="n">
        <v>14861</v>
      </c>
      <c r="G25" s="8" t="n">
        <v>1429</v>
      </c>
      <c r="H25" s="81" t="n">
        <f aca="false">((F26-F25)/F25)/((G26-G25)/G25)</f>
        <v>-0.398200616876159</v>
      </c>
      <c r="I25" s="7" t="n">
        <v>13308</v>
      </c>
      <c r="J25" s="8" t="n">
        <v>885</v>
      </c>
      <c r="K25" s="80" t="n">
        <f aca="false">((I26-I25)/I25)/((J26-J25)/J25)</f>
        <v>-0.272422207457327</v>
      </c>
      <c r="L25" s="8" t="n">
        <v>18168</v>
      </c>
      <c r="M25" s="8" t="n">
        <v>238</v>
      </c>
      <c r="N25" s="81" t="n">
        <f aca="false">((L26-L25)/L25)/((M26-M25)/M25)</f>
        <v>1.49339498018494</v>
      </c>
      <c r="O25" s="7" t="n">
        <v>15675</v>
      </c>
      <c r="P25" s="8" t="n">
        <v>174</v>
      </c>
      <c r="Q25" s="80" t="n">
        <f aca="false">((O26-O25)/O25)/((P26-P25)/P25)</f>
        <v>3.88516746411483</v>
      </c>
    </row>
    <row r="26" customFormat="false" ht="12" hidden="false" customHeight="false" outlineLevel="0" collapsed="false">
      <c r="B26" s="7" t="n">
        <v>50</v>
      </c>
      <c r="C26" s="7" t="n">
        <v>22270</v>
      </c>
      <c r="D26" s="8" t="n">
        <v>1151</v>
      </c>
      <c r="E26" s="80" t="n">
        <f aca="false">((C27-C26)/C26)/((D27-D26)/D26)</f>
        <v>-0.650722038043738</v>
      </c>
      <c r="F26" s="8" t="n">
        <v>13159</v>
      </c>
      <c r="G26" s="8" t="n">
        <v>1840</v>
      </c>
      <c r="H26" s="81" t="n">
        <f aca="false">((F27-F26)/F26)/((G27-G26)/G26)</f>
        <v>-2.47388450139419</v>
      </c>
      <c r="I26" s="7" t="n">
        <v>11907</v>
      </c>
      <c r="J26" s="8" t="n">
        <v>1227</v>
      </c>
      <c r="K26" s="80" t="n">
        <f aca="false">((I27-I26)/I26)/((J27-J26)/J26)</f>
        <v>-0.394045644791913</v>
      </c>
      <c r="L26" s="8" t="n">
        <v>17370</v>
      </c>
      <c r="M26" s="8" t="n">
        <v>231</v>
      </c>
      <c r="N26" s="81" t="n">
        <f aca="false">((L27-L26)/L26)/((M27-M26)/M26)</f>
        <v>0.703173575129534</v>
      </c>
      <c r="O26" s="7" t="n">
        <v>14975</v>
      </c>
      <c r="P26" s="8" t="n">
        <v>172</v>
      </c>
      <c r="Q26" s="80" t="n">
        <f aca="false">((O27-O26)/O26)/((P27-P26)/P26)</f>
        <v>1.39744017807457</v>
      </c>
    </row>
    <row r="27" customFormat="false" ht="13" hidden="false" customHeight="false" outlineLevel="0" collapsed="false">
      <c r="B27" s="13" t="n">
        <v>60</v>
      </c>
      <c r="C27" s="13" t="n">
        <v>19903</v>
      </c>
      <c r="D27" s="14" t="n">
        <v>1339</v>
      </c>
      <c r="E27" s="86"/>
      <c r="F27" s="14" t="n">
        <v>11779</v>
      </c>
      <c r="G27" s="14" t="n">
        <v>1918</v>
      </c>
      <c r="H27" s="83"/>
      <c r="I27" s="13" t="n">
        <v>10626</v>
      </c>
      <c r="J27" s="14" t="n">
        <v>1562</v>
      </c>
      <c r="K27" s="80"/>
      <c r="L27" s="14" t="n">
        <v>16524</v>
      </c>
      <c r="M27" s="14" t="n">
        <v>215</v>
      </c>
      <c r="N27" s="83"/>
      <c r="O27" s="13" t="n">
        <v>14245</v>
      </c>
      <c r="P27" s="14" t="n">
        <v>166</v>
      </c>
      <c r="Q27" s="80"/>
    </row>
    <row r="28" customFormat="false" ht="13" hidden="false" customHeight="false" outlineLevel="0" collapsed="false">
      <c r="B28" s="18" t="s">
        <v>18</v>
      </c>
      <c r="C28" s="18"/>
      <c r="D28" s="19"/>
      <c r="E28" s="84" t="n">
        <f aca="false">AVERAGE(E22:E26)</f>
        <v>-0.46951080822245</v>
      </c>
      <c r="F28" s="19"/>
      <c r="G28" s="19"/>
      <c r="H28" s="85" t="n">
        <f aca="false">AVERAGE(H22:H26)</f>
        <v>-0.662737990997303</v>
      </c>
      <c r="I28" s="18"/>
      <c r="J28" s="19"/>
      <c r="K28" s="84" t="n">
        <f aca="false">AVERAGE(K22:K26)</f>
        <v>-0.21552568614632</v>
      </c>
      <c r="L28" s="19"/>
      <c r="M28" s="19"/>
      <c r="N28" s="85" t="n">
        <f aca="false">AVERAGE(N22:N26)</f>
        <v>1.31474301206319</v>
      </c>
      <c r="O28" s="18"/>
      <c r="P28" s="19"/>
      <c r="Q28" s="84" t="n">
        <f aca="false">AVERAGE(Q22:Q26)</f>
        <v>2.14132215837227</v>
      </c>
    </row>
    <row r="29" customFormat="false" ht="12" hidden="false" customHeight="false" outlineLevel="0" collapsed="false">
      <c r="B29" s="8"/>
      <c r="C29" s="8"/>
      <c r="D29" s="8"/>
      <c r="E29" s="81"/>
      <c r="F29" s="8"/>
      <c r="G29" s="8"/>
      <c r="H29" s="81"/>
      <c r="I29" s="8"/>
      <c r="J29" s="8"/>
      <c r="K29" s="81"/>
      <c r="L29" s="8"/>
      <c r="M29" s="8"/>
      <c r="N29" s="81"/>
      <c r="O29" s="8"/>
      <c r="P29" s="8"/>
      <c r="Q29" s="81"/>
    </row>
    <row r="30" customFormat="false" ht="12" hidden="false" customHeight="false" outlineLevel="0" collapsed="false">
      <c r="E30" s="0" t="s">
        <v>20</v>
      </c>
    </row>
    <row r="31" customFormat="false" ht="12" hidden="false" customHeight="false" outlineLevel="0" collapsed="false">
      <c r="E31" s="0" t="s">
        <v>21</v>
      </c>
    </row>
    <row r="32" customFormat="false" ht="12" hidden="false" customHeight="false" outlineLevel="0" collapsed="false">
      <c r="E32" s="0" t="s">
        <v>22</v>
      </c>
    </row>
    <row r="33" customFormat="false" ht="12" hidden="false" customHeight="false" outlineLevel="0" collapsed="false">
      <c r="E33" s="0" t="s">
        <v>23</v>
      </c>
    </row>
    <row r="34" customFormat="false" ht="12" hidden="false" customHeight="false" outlineLevel="0" collapsed="false">
      <c r="E34" s="0" t="s">
        <v>24</v>
      </c>
    </row>
    <row r="35" customFormat="false" ht="12" hidden="false" customHeight="false" outlineLevel="0" collapsed="false">
      <c r="E35" s="0" t="s">
        <v>25</v>
      </c>
    </row>
    <row r="36" customFormat="false" ht="12" hidden="false" customHeight="false" outlineLevel="0" collapsed="false">
      <c r="E36" s="1" t="s">
        <v>26</v>
      </c>
      <c r="F36" s="1"/>
      <c r="G36" s="1"/>
      <c r="H36" s="1"/>
    </row>
    <row r="37" customFormat="false" ht="12" hidden="false" customHeight="false" outlineLevel="0" collapsed="false">
      <c r="E37" s="0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9"/>
  <sheetViews>
    <sheetView showFormulas="false" showGridLines="true" showRowColHeaders="true" showZeros="true" rightToLeft="false" tabSelected="false" showOutlineSymbols="true" defaultGridColor="true" view="normal" topLeftCell="A62" colorId="64" zoomScale="100" zoomScaleNormal="100" zoomScalePageLayoutView="100" workbookViewId="0">
      <selection pane="topLeft" activeCell="AC105" activeCellId="0" sqref="AC105"/>
    </sheetView>
  </sheetViews>
  <sheetFormatPr defaultColWidth="8.82421875" defaultRowHeight="12" customHeight="false" zeroHeight="false" outlineLevelRow="0" outlineLevelCol="0"/>
  <cols>
    <col collapsed="false" customWidth="true" hidden="false" outlineLevel="0" max="20" min="20" style="79" width="9.15"/>
  </cols>
  <sheetData>
    <row r="1" customFormat="false" ht="12" hidden="false" customHeight="false" outlineLevel="0" collapsed="false">
      <c r="E1" s="0" t="s">
        <v>122</v>
      </c>
      <c r="F1" s="0" t="s">
        <v>123</v>
      </c>
      <c r="G1" s="0" t="s">
        <v>124</v>
      </c>
      <c r="T1" s="0"/>
    </row>
    <row r="2" customFormat="false" ht="12" hidden="false" customHeight="false" outlineLevel="0" collapsed="false">
      <c r="E2" s="0" t="s">
        <v>125</v>
      </c>
      <c r="F2" s="0" t="s">
        <v>126</v>
      </c>
      <c r="G2" s="87" t="n">
        <v>0</v>
      </c>
      <c r="T2" s="0"/>
    </row>
    <row r="3" customFormat="false" ht="12" hidden="false" customHeight="false" outlineLevel="0" collapsed="false">
      <c r="T3" s="0"/>
    </row>
    <row r="4" customFormat="false" ht="12" hidden="false" customHeight="false" outlineLevel="0" collapsed="false">
      <c r="C4" s="0" t="s">
        <v>127</v>
      </c>
      <c r="D4" s="0" t="s">
        <v>128</v>
      </c>
      <c r="E4" s="0" t="s">
        <v>129</v>
      </c>
      <c r="F4" s="0" t="s">
        <v>130</v>
      </c>
      <c r="G4" s="0" t="s">
        <v>131</v>
      </c>
      <c r="H4" s="0" t="s">
        <v>132</v>
      </c>
      <c r="I4" s="0" t="s">
        <v>133</v>
      </c>
      <c r="J4" s="0" t="s">
        <v>134</v>
      </c>
      <c r="K4" s="0" t="s">
        <v>135</v>
      </c>
      <c r="T4" s="0"/>
    </row>
    <row r="5" customFormat="false" ht="12" hidden="false" customHeight="false" outlineLevel="0" collapsed="false">
      <c r="T5" s="0"/>
    </row>
    <row r="6" customFormat="false" ht="12" hidden="false" customHeight="false" outlineLevel="0" collapsed="false">
      <c r="C6" s="0" t="s">
        <v>136</v>
      </c>
      <c r="D6" s="0" t="s">
        <v>137</v>
      </c>
      <c r="E6" s="0" t="s">
        <v>138</v>
      </c>
      <c r="F6" s="0" t="s">
        <v>138</v>
      </c>
      <c r="G6" s="0" t="s">
        <v>139</v>
      </c>
      <c r="H6" s="0" t="s">
        <v>139</v>
      </c>
      <c r="I6" s="0" t="s">
        <v>139</v>
      </c>
      <c r="J6" s="0" t="s">
        <v>140</v>
      </c>
      <c r="K6" s="0" t="s">
        <v>141</v>
      </c>
      <c r="T6" s="0"/>
    </row>
    <row r="7" customFormat="false" ht="12" hidden="false" customHeight="false" outlineLevel="0" collapsed="false">
      <c r="C7" s="0" t="s">
        <v>142</v>
      </c>
      <c r="D7" s="0" t="s">
        <v>143</v>
      </c>
      <c r="E7" s="0" t="s">
        <v>142</v>
      </c>
      <c r="F7" s="0" t="s">
        <v>142</v>
      </c>
      <c r="G7" s="0" t="s">
        <v>144</v>
      </c>
      <c r="H7" s="0" t="s">
        <v>144</v>
      </c>
      <c r="I7" s="0" t="s">
        <v>144</v>
      </c>
      <c r="J7" s="0" t="s">
        <v>142</v>
      </c>
      <c r="K7" s="0" t="s">
        <v>144</v>
      </c>
      <c r="T7" s="0"/>
    </row>
    <row r="8" customFormat="false" ht="12" hidden="false" customHeight="false" outlineLevel="0" collapsed="false">
      <c r="T8" s="0"/>
    </row>
    <row r="9" customFormat="false" ht="12" hidden="false" customHeight="false" outlineLevel="0" collapsed="false">
      <c r="A9" s="0" t="s">
        <v>145</v>
      </c>
      <c r="B9" s="0" t="s">
        <v>122</v>
      </c>
      <c r="C9" s="0" t="n">
        <v>3910</v>
      </c>
      <c r="D9" s="0" t="n">
        <v>124.4</v>
      </c>
      <c r="E9" s="0" t="n">
        <v>12.2</v>
      </c>
      <c r="F9" s="0" t="n">
        <v>4.9</v>
      </c>
      <c r="G9" s="88" t="n">
        <v>0.00327546296296296</v>
      </c>
      <c r="H9" s="88" t="n">
        <v>0.00287037037037037</v>
      </c>
      <c r="I9" s="88" t="n">
        <v>0.00261574074074074</v>
      </c>
      <c r="J9" s="0" t="n">
        <v>6.8</v>
      </c>
      <c r="K9" s="0" t="n">
        <v>11681.6</v>
      </c>
      <c r="T9" s="0"/>
    </row>
    <row r="10" customFormat="false" ht="12" hidden="false" customHeight="false" outlineLevel="0" collapsed="false">
      <c r="T10" s="0"/>
    </row>
    <row r="11" customFormat="false" ht="12" hidden="false" customHeight="false" outlineLevel="0" collapsed="false">
      <c r="T11" s="0"/>
    </row>
    <row r="12" customFormat="false" ht="12" hidden="false" customHeight="false" outlineLevel="0" collapsed="false">
      <c r="T12" s="0"/>
    </row>
    <row r="13" customFormat="false" ht="12" hidden="false" customHeight="false" outlineLevel="0" collapsed="false">
      <c r="T13" s="0"/>
    </row>
    <row r="14" customFormat="false" ht="12" hidden="false" customHeight="false" outlineLevel="0" collapsed="false">
      <c r="F14" s="0" t="s">
        <v>146</v>
      </c>
      <c r="G14" s="0" t="s">
        <v>147</v>
      </c>
      <c r="T14" s="0"/>
    </row>
    <row r="15" customFormat="false" ht="12" hidden="false" customHeight="false" outlineLevel="0" collapsed="false">
      <c r="E15" s="0" t="s">
        <v>148</v>
      </c>
      <c r="F15" s="0" t="s">
        <v>149</v>
      </c>
      <c r="G15" s="0" t="s">
        <v>150</v>
      </c>
      <c r="H15" s="0" t="s">
        <v>151</v>
      </c>
      <c r="I15" s="0" t="s">
        <v>152</v>
      </c>
      <c r="T15" s="0"/>
    </row>
    <row r="16" customFormat="false" ht="12" hidden="false" customHeight="false" outlineLevel="0" collapsed="false">
      <c r="E16" s="0" t="s">
        <v>153</v>
      </c>
      <c r="F16" s="0" t="s">
        <v>154</v>
      </c>
      <c r="G16" s="87" t="n">
        <v>0</v>
      </c>
      <c r="T16" s="0"/>
    </row>
    <row r="17" customFormat="false" ht="12" hidden="false" customHeight="false" outlineLevel="0" collapsed="false">
      <c r="T17" s="0"/>
    </row>
    <row r="18" customFormat="false" ht="12" hidden="false" customHeight="false" outlineLevel="0" collapsed="false">
      <c r="C18" s="0" t="s">
        <v>127</v>
      </c>
      <c r="D18" s="0" t="s">
        <v>128</v>
      </c>
      <c r="E18" s="0" t="s">
        <v>129</v>
      </c>
      <c r="F18" s="0" t="s">
        <v>155</v>
      </c>
      <c r="G18" s="0" t="s">
        <v>156</v>
      </c>
      <c r="H18" s="0" t="s">
        <v>132</v>
      </c>
      <c r="I18" s="0" t="s">
        <v>133</v>
      </c>
      <c r="J18" s="0" t="s">
        <v>134</v>
      </c>
      <c r="K18" s="0" t="s">
        <v>157</v>
      </c>
      <c r="L18" s="0" t="s">
        <v>135</v>
      </c>
      <c r="M18" s="0" t="s">
        <v>158</v>
      </c>
      <c r="N18" s="0" t="s">
        <v>159</v>
      </c>
      <c r="O18" s="0" t="s">
        <v>160</v>
      </c>
      <c r="P18" s="0" t="s">
        <v>161</v>
      </c>
      <c r="Q18" s="0" t="s">
        <v>162</v>
      </c>
      <c r="R18" s="0" t="s">
        <v>3</v>
      </c>
      <c r="S18" s="0" t="s">
        <v>4</v>
      </c>
      <c r="T18" s="0" t="s">
        <v>6</v>
      </c>
      <c r="U18" s="0" t="s">
        <v>7</v>
      </c>
      <c r="V18" s="0" t="s">
        <v>9</v>
      </c>
      <c r="W18" s="0" t="s">
        <v>10</v>
      </c>
      <c r="X18" s="0" t="s">
        <v>12</v>
      </c>
      <c r="Y18" s="0" t="s">
        <v>13</v>
      </c>
      <c r="Z18" s="0" t="s">
        <v>15</v>
      </c>
      <c r="AA18" s="0" t="s">
        <v>16</v>
      </c>
    </row>
    <row r="19" customFormat="false" ht="12" hidden="false" customHeight="false" outlineLevel="0" collapsed="false">
      <c r="T19" s="0"/>
    </row>
    <row r="20" customFormat="false" ht="12" hidden="false" customHeight="false" outlineLevel="0" collapsed="false">
      <c r="C20" s="0" t="s">
        <v>136</v>
      </c>
      <c r="D20" s="0" t="s">
        <v>137</v>
      </c>
      <c r="E20" s="0" t="s">
        <v>138</v>
      </c>
      <c r="F20" s="0" t="s">
        <v>138</v>
      </c>
      <c r="G20" s="0" t="s">
        <v>139</v>
      </c>
      <c r="H20" s="0" t="s">
        <v>139</v>
      </c>
      <c r="I20" s="0" t="s">
        <v>139</v>
      </c>
      <c r="J20" s="0" t="s">
        <v>140</v>
      </c>
      <c r="K20" s="0" t="s">
        <v>163</v>
      </c>
      <c r="L20" s="0" t="s">
        <v>141</v>
      </c>
      <c r="T20" s="0"/>
    </row>
    <row r="21" customFormat="false" ht="12" hidden="false" customHeight="false" outlineLevel="0" collapsed="false">
      <c r="C21" s="0" t="s">
        <v>142</v>
      </c>
      <c r="D21" s="0" t="s">
        <v>143</v>
      </c>
      <c r="E21" s="0" t="s">
        <v>142</v>
      </c>
      <c r="F21" s="0" t="s">
        <v>142</v>
      </c>
      <c r="G21" s="0" t="s">
        <v>144</v>
      </c>
      <c r="H21" s="0" t="s">
        <v>144</v>
      </c>
      <c r="I21" s="0" t="s">
        <v>144</v>
      </c>
      <c r="J21" s="0" t="s">
        <v>142</v>
      </c>
      <c r="K21" s="0" t="s">
        <v>164</v>
      </c>
      <c r="L21" s="0" t="s">
        <v>143</v>
      </c>
      <c r="T21" s="0"/>
    </row>
    <row r="22" customFormat="false" ht="12" hidden="false" customHeight="false" outlineLevel="0" collapsed="false">
      <c r="T22" s="0"/>
    </row>
    <row r="23" customFormat="false" ht="12" hidden="false" customHeight="false" outlineLevel="0" collapsed="false">
      <c r="A23" s="0" t="s">
        <v>165</v>
      </c>
      <c r="B23" s="0" t="s">
        <v>166</v>
      </c>
      <c r="C23" s="0" t="n">
        <v>2179</v>
      </c>
      <c r="D23" s="0" t="n">
        <v>180.6</v>
      </c>
      <c r="E23" s="0" t="n">
        <v>8.8</v>
      </c>
      <c r="F23" s="0" t="n">
        <v>3.6</v>
      </c>
      <c r="G23" s="88" t="n">
        <v>0.00299768518518519</v>
      </c>
      <c r="H23" s="88" t="n">
        <v>0.00277777777777778</v>
      </c>
      <c r="I23" s="88" t="n">
        <v>0.00236111111111111</v>
      </c>
      <c r="J23" s="0" t="n">
        <v>8.7</v>
      </c>
      <c r="K23" s="0" t="s">
        <v>167</v>
      </c>
      <c r="L23" s="0" t="n">
        <v>1123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35" t="n">
        <f aca="false">M23*$C23</f>
        <v>2179</v>
      </c>
      <c r="S23" s="35" t="n">
        <f aca="false">M23*(MINUTE($G23)*60+SECOND($G23))</f>
        <v>259</v>
      </c>
      <c r="T23" s="35" t="n">
        <f aca="false">N23*$C23</f>
        <v>0</v>
      </c>
      <c r="U23" s="35" t="n">
        <f aca="false">N23*(MINUTE($G23)*60+SECOND($G23))</f>
        <v>0</v>
      </c>
      <c r="V23" s="35" t="n">
        <f aca="false">O23*$C23</f>
        <v>0</v>
      </c>
      <c r="W23" s="35" t="n">
        <f aca="false">O23*(MINUTE($G23)*60+SECOND($G23))</f>
        <v>0</v>
      </c>
      <c r="X23" s="35" t="n">
        <f aca="false">P23*$C23</f>
        <v>0</v>
      </c>
      <c r="Y23" s="35" t="n">
        <f aca="false">P23*(MINUTE($G23)*60+SECOND($G23))</f>
        <v>0</v>
      </c>
      <c r="Z23" s="35" t="n">
        <f aca="false">Q23*$C23</f>
        <v>0</v>
      </c>
      <c r="AA23" s="35" t="n">
        <f aca="false">Q23*(MINUTE($G23)*60+SECOND($G23))</f>
        <v>0</v>
      </c>
    </row>
    <row r="24" customFormat="false" ht="12" hidden="false" customHeight="false" outlineLevel="0" collapsed="false">
      <c r="A24" s="0" t="s">
        <v>168</v>
      </c>
      <c r="B24" s="0" t="s">
        <v>169</v>
      </c>
      <c r="C24" s="0" t="n">
        <v>1314</v>
      </c>
      <c r="E24" s="0" t="n">
        <v>9.3</v>
      </c>
      <c r="F24" s="0" t="n">
        <v>5.2</v>
      </c>
      <c r="G24" s="88" t="n">
        <v>0.00206018518518519</v>
      </c>
      <c r="H24" s="88" t="n">
        <v>0.00185185185185185</v>
      </c>
      <c r="I24" s="88" t="n">
        <v>0.00150462962962963</v>
      </c>
      <c r="J24" s="0" t="n">
        <v>7.4</v>
      </c>
      <c r="K24" s="0" t="s">
        <v>170</v>
      </c>
      <c r="L24" s="0" t="n">
        <v>677.1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35" t="n">
        <f aca="false">M24*C24</f>
        <v>0</v>
      </c>
      <c r="S24" s="35" t="n">
        <f aca="false">M24*(MINUTE(G24)*60+SECOND(G24))</f>
        <v>0</v>
      </c>
      <c r="T24" s="35" t="n">
        <f aca="false">N24*$C24</f>
        <v>0</v>
      </c>
      <c r="U24" s="35" t="n">
        <f aca="false">N24*(MINUTE($G24)*60+SECOND($G24))</f>
        <v>0</v>
      </c>
      <c r="V24" s="35" t="n">
        <f aca="false">O24*$C24</f>
        <v>0</v>
      </c>
      <c r="W24" s="35" t="n">
        <f aca="false">O24*(MINUTE($G24)*60+SECOND($G24))</f>
        <v>0</v>
      </c>
      <c r="X24" s="35" t="n">
        <f aca="false">P24*$C24</f>
        <v>0</v>
      </c>
      <c r="Y24" s="35" t="n">
        <f aca="false">P24*(MINUTE($G24)*60+SECOND($G24))</f>
        <v>0</v>
      </c>
      <c r="Z24" s="35" t="n">
        <f aca="false">Q24*$C24</f>
        <v>0</v>
      </c>
      <c r="AA24" s="35" t="n">
        <f aca="false">Q24*(MINUTE($G24)*60+SECOND($G24))</f>
        <v>0</v>
      </c>
    </row>
    <row r="25" customFormat="false" ht="12" hidden="false" customHeight="false" outlineLevel="0" collapsed="false">
      <c r="A25" s="0" t="s">
        <v>168</v>
      </c>
      <c r="B25" s="0" t="s">
        <v>171</v>
      </c>
      <c r="C25" s="0" t="n">
        <v>865</v>
      </c>
      <c r="E25" s="0" t="n">
        <v>8.2</v>
      </c>
      <c r="F25" s="0" t="n">
        <v>2.4</v>
      </c>
      <c r="G25" s="88" t="n">
        <v>0.00439814814814815</v>
      </c>
      <c r="H25" s="88" t="n">
        <v>0.00418981481481482</v>
      </c>
      <c r="I25" s="88" t="n">
        <v>0.00366898148148148</v>
      </c>
      <c r="J25" s="0" t="n">
        <v>10.8</v>
      </c>
      <c r="K25" s="0" t="s">
        <v>172</v>
      </c>
      <c r="L25" s="0" t="n">
        <v>446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35" t="n">
        <f aca="false">M25*C25</f>
        <v>0</v>
      </c>
      <c r="S25" s="35" t="n">
        <f aca="false">M25*(MINUTE(G25)*60+SECOND(G25))</f>
        <v>0</v>
      </c>
      <c r="T25" s="35" t="n">
        <f aca="false">N25*$C25</f>
        <v>0</v>
      </c>
      <c r="U25" s="35" t="n">
        <f aca="false">N25*(MINUTE($G25)*60+SECOND($G25))</f>
        <v>0</v>
      </c>
      <c r="V25" s="35" t="n">
        <f aca="false">O25*$C25</f>
        <v>0</v>
      </c>
      <c r="W25" s="35" t="n">
        <f aca="false">O25*(MINUTE($G25)*60+SECOND($G25))</f>
        <v>0</v>
      </c>
      <c r="X25" s="35" t="n">
        <f aca="false">P25*$C25</f>
        <v>0</v>
      </c>
      <c r="Y25" s="35" t="n">
        <f aca="false">P25*(MINUTE($G25)*60+SECOND($G25))</f>
        <v>0</v>
      </c>
      <c r="Z25" s="35" t="n">
        <f aca="false">Q25*$C25</f>
        <v>0</v>
      </c>
      <c r="AA25" s="35" t="n">
        <f aca="false">Q25*(MINUTE($G25)*60+SECOND($G25))</f>
        <v>0</v>
      </c>
    </row>
    <row r="26" customFormat="false" ht="12" hidden="false" customHeight="false" outlineLevel="0" collapsed="false"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35" t="n">
        <f aca="false">M26*C26</f>
        <v>0</v>
      </c>
      <c r="S26" s="35" t="n">
        <f aca="false">M26*(MINUTE(G26)*60+SECOND(G26))</f>
        <v>0</v>
      </c>
      <c r="T26" s="35" t="n">
        <f aca="false">N26*$C26</f>
        <v>0</v>
      </c>
      <c r="U26" s="35" t="n">
        <f aca="false">N26*(MINUTE($G26)*60+SECOND($G26))</f>
        <v>0</v>
      </c>
      <c r="V26" s="35" t="n">
        <f aca="false">O26*$C26</f>
        <v>0</v>
      </c>
      <c r="W26" s="35" t="n">
        <f aca="false">O26*(MINUTE($G26)*60+SECOND($G26))</f>
        <v>0</v>
      </c>
      <c r="X26" s="35" t="n">
        <f aca="false">P26*$C26</f>
        <v>0</v>
      </c>
      <c r="Y26" s="35" t="n">
        <f aca="false">P26*(MINUTE($G26)*60+SECOND($G26))</f>
        <v>0</v>
      </c>
      <c r="Z26" s="35" t="n">
        <f aca="false">Q26*$C26</f>
        <v>0</v>
      </c>
      <c r="AA26" s="35" t="n">
        <f aca="false">Q26*(MINUTE($G26)*60+SECOND($G26))</f>
        <v>0</v>
      </c>
    </row>
    <row r="27" customFormat="false" ht="12" hidden="false" customHeight="false" outlineLevel="0" collapsed="false"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35" t="n">
        <f aca="false">M27*C27</f>
        <v>0</v>
      </c>
      <c r="S27" s="35" t="n">
        <f aca="false">M27*(MINUTE(G27)*60+SECOND(G27))</f>
        <v>0</v>
      </c>
      <c r="T27" s="35" t="n">
        <f aca="false">N27*$C27</f>
        <v>0</v>
      </c>
      <c r="U27" s="35" t="n">
        <f aca="false">N27*(MINUTE($G27)*60+SECOND($G27))</f>
        <v>0</v>
      </c>
      <c r="V27" s="35" t="n">
        <f aca="false">O27*$C27</f>
        <v>0</v>
      </c>
      <c r="W27" s="35" t="n">
        <f aca="false">O27*(MINUTE($G27)*60+SECOND($G27))</f>
        <v>0</v>
      </c>
      <c r="X27" s="35" t="n">
        <f aca="false">P27*$C27</f>
        <v>0</v>
      </c>
      <c r="Y27" s="35" t="n">
        <f aca="false">P27*(MINUTE($G27)*60+SECOND($G27))</f>
        <v>0</v>
      </c>
      <c r="Z27" s="35" t="n">
        <f aca="false">Q27*$C27</f>
        <v>0</v>
      </c>
      <c r="AA27" s="35" t="n">
        <f aca="false">Q27*(MINUTE($G27)*60+SECOND($G27))</f>
        <v>0</v>
      </c>
    </row>
    <row r="28" customFormat="false" ht="12" hidden="false" customHeight="false" outlineLevel="0" collapsed="false">
      <c r="A28" s="0" t="s">
        <v>165</v>
      </c>
      <c r="B28" s="0" t="s">
        <v>173</v>
      </c>
      <c r="C28" s="0" t="n">
        <v>2221</v>
      </c>
      <c r="D28" s="0" t="n">
        <v>183.5</v>
      </c>
      <c r="E28" s="0" t="n">
        <v>7</v>
      </c>
      <c r="F28" s="0" t="n">
        <v>3.6</v>
      </c>
      <c r="G28" s="88" t="n">
        <v>0.00711805555555556</v>
      </c>
      <c r="H28" s="88" t="n">
        <v>0.00628472222222222</v>
      </c>
      <c r="I28" s="88" t="n">
        <v>0.00564814814814815</v>
      </c>
      <c r="J28" s="0" t="n">
        <v>18.7</v>
      </c>
      <c r="K28" s="0" t="s">
        <v>174</v>
      </c>
      <c r="L28" s="0" t="n">
        <v>2757.5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35" t="n">
        <f aca="false">M28*C28</f>
        <v>2221</v>
      </c>
      <c r="S28" s="35" t="n">
        <f aca="false">M28*(MINUTE(G28)*60+SECOND(G28))</f>
        <v>615</v>
      </c>
      <c r="T28" s="35" t="n">
        <f aca="false">N28*$C28</f>
        <v>0</v>
      </c>
      <c r="U28" s="35" t="n">
        <f aca="false">N28*(MINUTE($G28)*60+SECOND($G28))</f>
        <v>0</v>
      </c>
      <c r="V28" s="35" t="n">
        <f aca="false">O28*$C28</f>
        <v>0</v>
      </c>
      <c r="W28" s="35" t="n">
        <f aca="false">O28*(MINUTE($G28)*60+SECOND($G28))</f>
        <v>0</v>
      </c>
      <c r="X28" s="35" t="n">
        <f aca="false">P28*$C28</f>
        <v>0</v>
      </c>
      <c r="Y28" s="35" t="n">
        <f aca="false">P28*(MINUTE($G28)*60+SECOND($G28))</f>
        <v>0</v>
      </c>
      <c r="Z28" s="35" t="n">
        <f aca="false">Q28*$C28</f>
        <v>0</v>
      </c>
      <c r="AA28" s="35" t="n">
        <f aca="false">Q28*(MINUTE($G28)*60+SECOND($G28))</f>
        <v>0</v>
      </c>
    </row>
    <row r="29" customFormat="false" ht="12" hidden="false" customHeight="false" outlineLevel="0" collapsed="false">
      <c r="A29" s="0" t="s">
        <v>168</v>
      </c>
      <c r="B29" s="0" t="s">
        <v>175</v>
      </c>
      <c r="C29" s="0" t="n">
        <v>2221</v>
      </c>
      <c r="E29" s="0" t="n">
        <v>7</v>
      </c>
      <c r="F29" s="0" t="n">
        <v>3.6</v>
      </c>
      <c r="G29" s="88" t="n">
        <v>0.00711805555555556</v>
      </c>
      <c r="H29" s="88" t="n">
        <v>0.00628472222222222</v>
      </c>
      <c r="I29" s="88" t="n">
        <v>0.00564814814814815</v>
      </c>
      <c r="J29" s="0" t="n">
        <v>18.7</v>
      </c>
      <c r="K29" s="0" t="s">
        <v>174</v>
      </c>
      <c r="L29" s="0" t="n">
        <v>2757.5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35" t="n">
        <f aca="false">M29*C29</f>
        <v>0</v>
      </c>
      <c r="S29" s="35" t="n">
        <f aca="false">M29*(MINUTE(G29)*60+SECOND(G29))</f>
        <v>0</v>
      </c>
      <c r="T29" s="35" t="n">
        <f aca="false">N29*$C29</f>
        <v>0</v>
      </c>
      <c r="U29" s="35" t="n">
        <f aca="false">N29*(MINUTE($G29)*60+SECOND($G29))</f>
        <v>0</v>
      </c>
      <c r="V29" s="35" t="n">
        <f aca="false">O29*$C29</f>
        <v>0</v>
      </c>
      <c r="W29" s="35" t="n">
        <f aca="false">O29*(MINUTE($G29)*60+SECOND($G29))</f>
        <v>0</v>
      </c>
      <c r="X29" s="35" t="n">
        <f aca="false">P29*$C29</f>
        <v>0</v>
      </c>
      <c r="Y29" s="35" t="n">
        <f aca="false">P29*(MINUTE($G29)*60+SECOND($G29))</f>
        <v>0</v>
      </c>
      <c r="Z29" s="35" t="n">
        <f aca="false">Q29*$C29</f>
        <v>0</v>
      </c>
      <c r="AA29" s="35" t="n">
        <f aca="false">Q29*(MINUTE($G29)*60+SECOND($G29))</f>
        <v>0</v>
      </c>
    </row>
    <row r="30" customFormat="false" ht="12" hidden="false" customHeight="false" outlineLevel="0" collapsed="false"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35" t="n">
        <f aca="false">M30*C30</f>
        <v>0</v>
      </c>
      <c r="S30" s="35" t="n">
        <f aca="false">M30*(MINUTE(G30)*60+SECOND(G30))</f>
        <v>0</v>
      </c>
      <c r="T30" s="35" t="n">
        <f aca="false">N30*$C30</f>
        <v>0</v>
      </c>
      <c r="U30" s="35" t="n">
        <f aca="false">N30*(MINUTE($G30)*60+SECOND($G30))</f>
        <v>0</v>
      </c>
      <c r="V30" s="35" t="n">
        <f aca="false">O30*$C30</f>
        <v>0</v>
      </c>
      <c r="W30" s="35" t="n">
        <f aca="false">O30*(MINUTE($G30)*60+SECOND($G30))</f>
        <v>0</v>
      </c>
      <c r="X30" s="35" t="n">
        <f aca="false">P30*$C30</f>
        <v>0</v>
      </c>
      <c r="Y30" s="35" t="n">
        <f aca="false">P30*(MINUTE($G30)*60+SECOND($G30))</f>
        <v>0</v>
      </c>
      <c r="Z30" s="35" t="n">
        <f aca="false">Q30*$C30</f>
        <v>0</v>
      </c>
      <c r="AA30" s="35" t="n">
        <f aca="false">Q30*(MINUTE($G30)*60+SECOND($G30))</f>
        <v>0</v>
      </c>
    </row>
    <row r="31" customFormat="false" ht="12" hidden="false" customHeight="false" outlineLevel="0" collapsed="false"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35" t="n">
        <f aca="false">M31*C31</f>
        <v>0</v>
      </c>
      <c r="S31" s="35" t="n">
        <f aca="false">M31*(MINUTE(G31)*60+SECOND(G31))</f>
        <v>0</v>
      </c>
      <c r="T31" s="35" t="n">
        <f aca="false">N31*$C31</f>
        <v>0</v>
      </c>
      <c r="U31" s="35" t="n">
        <f aca="false">N31*(MINUTE($G31)*60+SECOND($G31))</f>
        <v>0</v>
      </c>
      <c r="V31" s="35" t="n">
        <f aca="false">O31*$C31</f>
        <v>0</v>
      </c>
      <c r="W31" s="35" t="n">
        <f aca="false">O31*(MINUTE($G31)*60+SECOND($G31))</f>
        <v>0</v>
      </c>
      <c r="X31" s="35" t="n">
        <f aca="false">P31*$C31</f>
        <v>0</v>
      </c>
      <c r="Y31" s="35" t="n">
        <f aca="false">P31*(MINUTE($G31)*60+SECOND($G31))</f>
        <v>0</v>
      </c>
      <c r="Z31" s="35" t="n">
        <f aca="false">Q31*$C31</f>
        <v>0</v>
      </c>
      <c r="AA31" s="35" t="n">
        <f aca="false">Q31*(MINUTE($G31)*60+SECOND($G31))</f>
        <v>0</v>
      </c>
    </row>
    <row r="32" customFormat="false" ht="12" hidden="false" customHeight="false" outlineLevel="0" collapsed="false">
      <c r="A32" s="0" t="s">
        <v>165</v>
      </c>
      <c r="B32" s="0" t="s">
        <v>176</v>
      </c>
      <c r="C32" s="0" t="n">
        <v>864</v>
      </c>
      <c r="D32" s="0" t="n">
        <v>214.4</v>
      </c>
      <c r="E32" s="0" t="n">
        <v>5.2</v>
      </c>
      <c r="F32" s="0" t="n">
        <v>1.8</v>
      </c>
      <c r="G32" s="88" t="n">
        <v>0.000706018518518519</v>
      </c>
      <c r="H32" s="88" t="n">
        <v>0.00068287037037037</v>
      </c>
      <c r="I32" s="88" t="n">
        <v>0.000648148148148148</v>
      </c>
      <c r="J32" s="0" t="n">
        <v>3</v>
      </c>
      <c r="K32" s="0" t="s">
        <v>177</v>
      </c>
      <c r="L32" s="0" t="n">
        <v>53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35" t="n">
        <f aca="false">M32*C32</f>
        <v>864</v>
      </c>
      <c r="S32" s="35" t="n">
        <f aca="false">M32*(MINUTE(G32)*60+SECOND(G32))</f>
        <v>61</v>
      </c>
      <c r="T32" s="35" t="n">
        <f aca="false">N32*$C32</f>
        <v>0</v>
      </c>
      <c r="U32" s="35" t="n">
        <f aca="false">N32*(MINUTE($G32)*60+SECOND($G32))</f>
        <v>0</v>
      </c>
      <c r="V32" s="35" t="n">
        <f aca="false">O32*$C32</f>
        <v>0</v>
      </c>
      <c r="W32" s="35" t="n">
        <f aca="false">O32*(MINUTE($G32)*60+SECOND($G32))</f>
        <v>0</v>
      </c>
      <c r="X32" s="35" t="n">
        <f aca="false">P32*$C32</f>
        <v>0</v>
      </c>
      <c r="Y32" s="35" t="n">
        <f aca="false">P32*(MINUTE($G32)*60+SECOND($G32))</f>
        <v>0</v>
      </c>
      <c r="Z32" s="35" t="n">
        <f aca="false">Q32*$C32</f>
        <v>0</v>
      </c>
      <c r="AA32" s="35" t="n">
        <f aca="false">Q32*(MINUTE($G32)*60+SECOND($G32))</f>
        <v>0</v>
      </c>
    </row>
    <row r="33" customFormat="false" ht="12" hidden="false" customHeight="false" outlineLevel="0" collapsed="false">
      <c r="A33" s="0" t="s">
        <v>168</v>
      </c>
      <c r="B33" s="0" t="s">
        <v>178</v>
      </c>
      <c r="C33" s="0" t="n">
        <v>864</v>
      </c>
      <c r="E33" s="0" t="n">
        <v>5.2</v>
      </c>
      <c r="F33" s="0" t="n">
        <v>1.8</v>
      </c>
      <c r="G33" s="88" t="n">
        <v>0.000706018518518519</v>
      </c>
      <c r="H33" s="88" t="n">
        <v>0.00068287037037037</v>
      </c>
      <c r="I33" s="88" t="n">
        <v>0.000648148148148148</v>
      </c>
      <c r="J33" s="0" t="n">
        <v>3</v>
      </c>
      <c r="K33" s="0" t="s">
        <v>177</v>
      </c>
      <c r="L33" s="0" t="n">
        <v>53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35" t="n">
        <f aca="false">M33*C33</f>
        <v>0</v>
      </c>
      <c r="S33" s="35" t="n">
        <f aca="false">M33*(MINUTE(G33)*60+SECOND(G33))</f>
        <v>0</v>
      </c>
      <c r="T33" s="35" t="n">
        <f aca="false">N33*$C33</f>
        <v>0</v>
      </c>
      <c r="U33" s="35" t="n">
        <f aca="false">N33*(MINUTE($G33)*60+SECOND($G33))</f>
        <v>0</v>
      </c>
      <c r="V33" s="35" t="n">
        <f aca="false">O33*$C33</f>
        <v>0</v>
      </c>
      <c r="W33" s="35" t="n">
        <f aca="false">O33*(MINUTE($G33)*60+SECOND($G33))</f>
        <v>0</v>
      </c>
      <c r="X33" s="35" t="n">
        <f aca="false">P33*$C33</f>
        <v>0</v>
      </c>
      <c r="Y33" s="35" t="n">
        <f aca="false">P33*(MINUTE($G33)*60+SECOND($G33))</f>
        <v>0</v>
      </c>
      <c r="Z33" s="35" t="n">
        <f aca="false">Q33*$C33</f>
        <v>0</v>
      </c>
      <c r="AA33" s="35" t="n">
        <f aca="false">Q33*(MINUTE($G33)*60+SECOND($G33))</f>
        <v>0</v>
      </c>
    </row>
    <row r="34" customFormat="false" ht="12" hidden="false" customHeight="false" outlineLevel="0" collapsed="false"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35" t="n">
        <f aca="false">M34*C34</f>
        <v>0</v>
      </c>
      <c r="S34" s="35" t="n">
        <f aca="false">M34*(MINUTE(G34)*60+SECOND(G34))</f>
        <v>0</v>
      </c>
      <c r="T34" s="35" t="n">
        <f aca="false">N34*$C34</f>
        <v>0</v>
      </c>
      <c r="U34" s="35" t="n">
        <f aca="false">N34*(MINUTE($G34)*60+SECOND($G34))</f>
        <v>0</v>
      </c>
      <c r="V34" s="35" t="n">
        <f aca="false">O34*$C34</f>
        <v>0</v>
      </c>
      <c r="W34" s="35" t="n">
        <f aca="false">O34*(MINUTE($G34)*60+SECOND($G34))</f>
        <v>0</v>
      </c>
      <c r="X34" s="35" t="n">
        <f aca="false">P34*$C34</f>
        <v>0</v>
      </c>
      <c r="Y34" s="35" t="n">
        <f aca="false">P34*(MINUTE($G34)*60+SECOND($G34))</f>
        <v>0</v>
      </c>
      <c r="Z34" s="35" t="n">
        <f aca="false">Q34*$C34</f>
        <v>0</v>
      </c>
      <c r="AA34" s="35" t="n">
        <f aca="false">Q34*(MINUTE($G34)*60+SECOND($G34))</f>
        <v>0</v>
      </c>
    </row>
    <row r="35" customFormat="false" ht="12" hidden="false" customHeight="false" outlineLevel="0" collapsed="false"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35" t="n">
        <f aca="false">M35*C35</f>
        <v>0</v>
      </c>
      <c r="S35" s="35" t="n">
        <f aca="false">M35*(MINUTE(G35)*60+SECOND(G35))</f>
        <v>0</v>
      </c>
      <c r="T35" s="35" t="n">
        <f aca="false">N35*$C35</f>
        <v>0</v>
      </c>
      <c r="U35" s="35" t="n">
        <f aca="false">N35*(MINUTE($G35)*60+SECOND($G35))</f>
        <v>0</v>
      </c>
      <c r="V35" s="35" t="n">
        <f aca="false">O35*$C35</f>
        <v>0</v>
      </c>
      <c r="W35" s="35" t="n">
        <f aca="false">O35*(MINUTE($G35)*60+SECOND($G35))</f>
        <v>0</v>
      </c>
      <c r="X35" s="35" t="n">
        <f aca="false">P35*$C35</f>
        <v>0</v>
      </c>
      <c r="Y35" s="35" t="n">
        <f aca="false">P35*(MINUTE($G35)*60+SECOND($G35))</f>
        <v>0</v>
      </c>
      <c r="Z35" s="35" t="n">
        <f aca="false">Q35*$C35</f>
        <v>0</v>
      </c>
      <c r="AA35" s="35" t="n">
        <f aca="false">Q35*(MINUTE($G35)*60+SECOND($G35))</f>
        <v>0</v>
      </c>
    </row>
    <row r="36" customFormat="false" ht="12" hidden="false" customHeight="false" outlineLevel="0" collapsed="false">
      <c r="A36" s="0" t="s">
        <v>165</v>
      </c>
      <c r="B36" s="0" t="s">
        <v>179</v>
      </c>
      <c r="C36" s="0" t="n">
        <v>1313</v>
      </c>
      <c r="D36" s="0" t="n">
        <v>67.2</v>
      </c>
      <c r="E36" s="0" t="n">
        <v>24.1</v>
      </c>
      <c r="F36" s="0" t="n">
        <v>8.7</v>
      </c>
      <c r="G36" s="88" t="n">
        <v>0.000138888888888889</v>
      </c>
      <c r="H36" s="88" t="n">
        <v>0.000115740740740741</v>
      </c>
      <c r="I36" s="88" t="n">
        <v>9.25925925925926E-005</v>
      </c>
      <c r="J36" s="0" t="n">
        <v>1.2</v>
      </c>
      <c r="K36" s="0" t="s">
        <v>180</v>
      </c>
      <c r="L36" s="0" t="n">
        <v>80.2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35" t="n">
        <f aca="false">M36*C36</f>
        <v>0</v>
      </c>
      <c r="S36" s="35" t="n">
        <f aca="false">M36*(MINUTE(G36)*60+SECOND(G36))</f>
        <v>0</v>
      </c>
      <c r="T36" s="35" t="n">
        <f aca="false">N36*$C36</f>
        <v>0</v>
      </c>
      <c r="U36" s="35" t="n">
        <f aca="false">N36*(MINUTE($G36)*60+SECOND($G36))</f>
        <v>0</v>
      </c>
      <c r="V36" s="35" t="n">
        <f aca="false">O36*$C36</f>
        <v>0</v>
      </c>
      <c r="W36" s="35" t="n">
        <f aca="false">O36*(MINUTE($G36)*60+SECOND($G36))</f>
        <v>0</v>
      </c>
      <c r="X36" s="35" t="n">
        <f aca="false">P36*$C36</f>
        <v>0</v>
      </c>
      <c r="Y36" s="35" t="n">
        <f aca="false">P36*(MINUTE($G36)*60+SECOND($G36))</f>
        <v>0</v>
      </c>
      <c r="Z36" s="35" t="n">
        <f aca="false">Q36*$C36</f>
        <v>0</v>
      </c>
      <c r="AA36" s="35" t="n">
        <f aca="false">Q36*(MINUTE($G36)*60+SECOND($G36))</f>
        <v>0</v>
      </c>
    </row>
    <row r="37" customFormat="false" ht="12" hidden="false" customHeight="false" outlineLevel="0" collapsed="false">
      <c r="A37" s="0" t="s">
        <v>168</v>
      </c>
      <c r="B37" s="0" t="s">
        <v>181</v>
      </c>
      <c r="C37" s="0" t="n">
        <v>1313</v>
      </c>
      <c r="E37" s="0" t="n">
        <v>24.1</v>
      </c>
      <c r="F37" s="0" t="n">
        <v>8.7</v>
      </c>
      <c r="G37" s="88" t="n">
        <v>0.000138888888888889</v>
      </c>
      <c r="H37" s="88" t="n">
        <v>0.000115740740740741</v>
      </c>
      <c r="I37" s="88" t="n">
        <v>9.25925925925926E-005</v>
      </c>
      <c r="J37" s="0" t="n">
        <v>1.2</v>
      </c>
      <c r="K37" s="0" t="s">
        <v>180</v>
      </c>
      <c r="L37" s="0" t="n">
        <v>80.2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35" t="n">
        <f aca="false">M37*C37</f>
        <v>0</v>
      </c>
      <c r="S37" s="35" t="n">
        <f aca="false">M37*(MINUTE(G37)*60+SECOND(G37))</f>
        <v>0</v>
      </c>
      <c r="T37" s="35" t="n">
        <f aca="false">N37*$C37</f>
        <v>0</v>
      </c>
      <c r="U37" s="35" t="n">
        <f aca="false">N37*(MINUTE($G37)*60+SECOND($G37))</f>
        <v>0</v>
      </c>
      <c r="V37" s="35" t="n">
        <f aca="false">O37*$C37</f>
        <v>0</v>
      </c>
      <c r="W37" s="35" t="n">
        <f aca="false">O37*(MINUTE($G37)*60+SECOND($G37))</f>
        <v>0</v>
      </c>
      <c r="X37" s="35" t="n">
        <f aca="false">P37*$C37</f>
        <v>0</v>
      </c>
      <c r="Y37" s="35" t="n">
        <f aca="false">P37*(MINUTE($G37)*60+SECOND($G37))</f>
        <v>0</v>
      </c>
      <c r="Z37" s="35" t="n">
        <f aca="false">Q37*$C37</f>
        <v>0</v>
      </c>
      <c r="AA37" s="35" t="n">
        <f aca="false">Q37*(MINUTE($G37)*60+SECOND($G37))</f>
        <v>0</v>
      </c>
    </row>
    <row r="38" customFormat="false" ht="12" hidden="false" customHeight="false" outlineLevel="0" collapsed="false"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35" t="n">
        <f aca="false">M38*C38</f>
        <v>0</v>
      </c>
      <c r="S38" s="35" t="n">
        <f aca="false">M38*(MINUTE(G38)*60+SECOND(G38))</f>
        <v>0</v>
      </c>
      <c r="T38" s="35" t="n">
        <f aca="false">N38*$C38</f>
        <v>0</v>
      </c>
      <c r="U38" s="35" t="n">
        <f aca="false">N38*(MINUTE($G38)*60+SECOND($G38))</f>
        <v>0</v>
      </c>
      <c r="V38" s="35" t="n">
        <f aca="false">O38*$C38</f>
        <v>0</v>
      </c>
      <c r="W38" s="35" t="n">
        <f aca="false">O38*(MINUTE($G38)*60+SECOND($G38))</f>
        <v>0</v>
      </c>
      <c r="X38" s="35" t="n">
        <f aca="false">P38*$C38</f>
        <v>0</v>
      </c>
      <c r="Y38" s="35" t="n">
        <f aca="false">P38*(MINUTE($G38)*60+SECOND($G38))</f>
        <v>0</v>
      </c>
      <c r="Z38" s="35" t="n">
        <f aca="false">Q38*$C38</f>
        <v>0</v>
      </c>
      <c r="AA38" s="35" t="n">
        <f aca="false">Q38*(MINUTE($G38)*60+SECOND($G38))</f>
        <v>0</v>
      </c>
    </row>
    <row r="39" customFormat="false" ht="12" hidden="false" customHeight="false" outlineLevel="0" collapsed="false"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35" t="n">
        <f aca="false">M39*C39</f>
        <v>0</v>
      </c>
      <c r="S39" s="35" t="n">
        <f aca="false">M39*(MINUTE(G39)*60+SECOND(G39))</f>
        <v>0</v>
      </c>
      <c r="T39" s="35" t="n">
        <f aca="false">N39*$C39</f>
        <v>0</v>
      </c>
      <c r="U39" s="35" t="n">
        <f aca="false">N39*(MINUTE($G39)*60+SECOND($G39))</f>
        <v>0</v>
      </c>
      <c r="V39" s="35" t="n">
        <f aca="false">O39*$C39</f>
        <v>0</v>
      </c>
      <c r="W39" s="35" t="n">
        <f aca="false">O39*(MINUTE($G39)*60+SECOND($G39))</f>
        <v>0</v>
      </c>
      <c r="X39" s="35" t="n">
        <f aca="false">P39*$C39</f>
        <v>0</v>
      </c>
      <c r="Y39" s="35" t="n">
        <f aca="false">P39*(MINUTE($G39)*60+SECOND($G39))</f>
        <v>0</v>
      </c>
      <c r="Z39" s="35" t="n">
        <f aca="false">Q39*$C39</f>
        <v>0</v>
      </c>
      <c r="AA39" s="35" t="n">
        <f aca="false">Q39*(MINUTE($G39)*60+SECOND($G39))</f>
        <v>0</v>
      </c>
    </row>
    <row r="40" customFormat="false" ht="12" hidden="false" customHeight="false" outlineLevel="0" collapsed="false">
      <c r="A40" s="0" t="s">
        <v>165</v>
      </c>
      <c r="B40" s="0" t="s">
        <v>182</v>
      </c>
      <c r="C40" s="0" t="n">
        <v>863</v>
      </c>
      <c r="D40" s="0" t="n">
        <v>225.2</v>
      </c>
      <c r="E40" s="0" t="n">
        <v>4.8</v>
      </c>
      <c r="F40" s="0" t="n">
        <v>1.7</v>
      </c>
      <c r="G40" s="88" t="n">
        <v>0.000671296296296296</v>
      </c>
      <c r="H40" s="88" t="n">
        <v>0.000648148148148148</v>
      </c>
      <c r="I40" s="88" t="n">
        <v>0.000636574074074074</v>
      </c>
      <c r="J40" s="0" t="n">
        <v>3.1</v>
      </c>
      <c r="K40" s="0" t="s">
        <v>183</v>
      </c>
      <c r="L40" s="0" t="n">
        <v>48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35" t="n">
        <f aca="false">M40*C40</f>
        <v>863</v>
      </c>
      <c r="S40" s="35" t="n">
        <f aca="false">M40*(MINUTE(G40)*60+SECOND(G40))</f>
        <v>58</v>
      </c>
      <c r="T40" s="35" t="n">
        <f aca="false">N40*$C40</f>
        <v>0</v>
      </c>
      <c r="U40" s="35" t="n">
        <f aca="false">N40*(MINUTE($G40)*60+SECOND($G40))</f>
        <v>0</v>
      </c>
      <c r="V40" s="35" t="n">
        <f aca="false">O40*$C40</f>
        <v>0</v>
      </c>
      <c r="W40" s="35" t="n">
        <f aca="false">O40*(MINUTE($G40)*60+SECOND($G40))</f>
        <v>0</v>
      </c>
      <c r="X40" s="35" t="n">
        <f aca="false">P40*$C40</f>
        <v>0</v>
      </c>
      <c r="Y40" s="35" t="n">
        <f aca="false">P40*(MINUTE($G40)*60+SECOND($G40))</f>
        <v>0</v>
      </c>
      <c r="Z40" s="35" t="n">
        <f aca="false">Q40*$C40</f>
        <v>0</v>
      </c>
      <c r="AA40" s="35" t="n">
        <f aca="false">Q40*(MINUTE($G40)*60+SECOND($G40))</f>
        <v>0</v>
      </c>
    </row>
    <row r="41" customFormat="false" ht="12" hidden="false" customHeight="false" outlineLevel="0" collapsed="false">
      <c r="A41" s="0" t="s">
        <v>168</v>
      </c>
      <c r="B41" s="0" t="s">
        <v>184</v>
      </c>
      <c r="C41" s="0" t="n">
        <v>863</v>
      </c>
      <c r="E41" s="0" t="n">
        <v>4.8</v>
      </c>
      <c r="F41" s="0" t="n">
        <v>1.7</v>
      </c>
      <c r="G41" s="88" t="n">
        <v>0.000671296296296296</v>
      </c>
      <c r="H41" s="88" t="n">
        <v>0.000648148148148148</v>
      </c>
      <c r="I41" s="88" t="n">
        <v>0.000636574074074074</v>
      </c>
      <c r="J41" s="0" t="n">
        <v>3.1</v>
      </c>
      <c r="K41" s="0" t="s">
        <v>183</v>
      </c>
      <c r="L41" s="0" t="n">
        <v>48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35" t="n">
        <f aca="false">M41*C41</f>
        <v>0</v>
      </c>
      <c r="S41" s="35" t="n">
        <f aca="false">M41*(MINUTE(G41)*60+SECOND(G41))</f>
        <v>0</v>
      </c>
      <c r="T41" s="35" t="n">
        <f aca="false">N41*$C41</f>
        <v>0</v>
      </c>
      <c r="U41" s="35" t="n">
        <f aca="false">N41*(MINUTE($G41)*60+SECOND($G41))</f>
        <v>0</v>
      </c>
      <c r="V41" s="35" t="n">
        <f aca="false">O41*$C41</f>
        <v>0</v>
      </c>
      <c r="W41" s="35" t="n">
        <f aca="false">O41*(MINUTE($G41)*60+SECOND($G41))</f>
        <v>0</v>
      </c>
      <c r="X41" s="35" t="n">
        <f aca="false">P41*$C41</f>
        <v>0</v>
      </c>
      <c r="Y41" s="35" t="n">
        <f aca="false">P41*(MINUTE($G41)*60+SECOND($G41))</f>
        <v>0</v>
      </c>
      <c r="Z41" s="35" t="n">
        <f aca="false">Q41*$C41</f>
        <v>0</v>
      </c>
      <c r="AA41" s="35" t="n">
        <f aca="false">Q41*(MINUTE($G41)*60+SECOND($G41))</f>
        <v>0</v>
      </c>
    </row>
    <row r="42" customFormat="false" ht="12" hidden="false" customHeight="false" outlineLevel="0" collapsed="false"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35" t="n">
        <f aca="false">M42*C42</f>
        <v>0</v>
      </c>
      <c r="S42" s="35" t="n">
        <f aca="false">M42*(MINUTE(G42)*60+SECOND(G42))</f>
        <v>0</v>
      </c>
      <c r="T42" s="35" t="n">
        <f aca="false">N42*$C42</f>
        <v>0</v>
      </c>
      <c r="U42" s="35" t="n">
        <f aca="false">N42*(MINUTE($G42)*60+SECOND($G42))</f>
        <v>0</v>
      </c>
      <c r="V42" s="35" t="n">
        <f aca="false">O42*$C42</f>
        <v>0</v>
      </c>
      <c r="W42" s="35" t="n">
        <f aca="false">O42*(MINUTE($G42)*60+SECOND($G42))</f>
        <v>0</v>
      </c>
      <c r="X42" s="35" t="n">
        <f aca="false">P42*$C42</f>
        <v>0</v>
      </c>
      <c r="Y42" s="35" t="n">
        <f aca="false">P42*(MINUTE($G42)*60+SECOND($G42))</f>
        <v>0</v>
      </c>
      <c r="Z42" s="35" t="n">
        <f aca="false">Q42*$C42</f>
        <v>0</v>
      </c>
      <c r="AA42" s="35" t="n">
        <f aca="false">Q42*(MINUTE($G42)*60+SECOND($G42))</f>
        <v>0</v>
      </c>
    </row>
    <row r="43" customFormat="false" ht="12" hidden="false" customHeight="false" outlineLevel="0" collapsed="false"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35" t="n">
        <f aca="false">M43*C43</f>
        <v>0</v>
      </c>
      <c r="S43" s="35" t="n">
        <f aca="false">M43*(MINUTE(G43)*60+SECOND(G43))</f>
        <v>0</v>
      </c>
      <c r="T43" s="35" t="n">
        <f aca="false">N43*$C43</f>
        <v>0</v>
      </c>
      <c r="U43" s="35" t="n">
        <f aca="false">N43*(MINUTE($G43)*60+SECOND($G43))</f>
        <v>0</v>
      </c>
      <c r="V43" s="35" t="n">
        <f aca="false">O43*$C43</f>
        <v>0</v>
      </c>
      <c r="W43" s="35" t="n">
        <f aca="false">O43*(MINUTE($G43)*60+SECOND($G43))</f>
        <v>0</v>
      </c>
      <c r="X43" s="35" t="n">
        <f aca="false">P43*$C43</f>
        <v>0</v>
      </c>
      <c r="Y43" s="35" t="n">
        <f aca="false">P43*(MINUTE($G43)*60+SECOND($G43))</f>
        <v>0</v>
      </c>
      <c r="Z43" s="35" t="n">
        <f aca="false">Q43*$C43</f>
        <v>0</v>
      </c>
      <c r="AA43" s="35" t="n">
        <f aca="false">Q43*(MINUTE($G43)*60+SECOND($G43))</f>
        <v>0</v>
      </c>
    </row>
    <row r="44" customFormat="false" ht="12" hidden="false" customHeight="false" outlineLevel="0" collapsed="false">
      <c r="A44" s="0" t="s">
        <v>165</v>
      </c>
      <c r="B44" s="0" t="s">
        <v>185</v>
      </c>
      <c r="C44" s="0" t="n">
        <v>1312</v>
      </c>
      <c r="D44" s="0" t="n">
        <v>80.1</v>
      </c>
      <c r="E44" s="0" t="n">
        <v>23.6</v>
      </c>
      <c r="F44" s="0" t="n">
        <v>7.3</v>
      </c>
      <c r="G44" s="88" t="n">
        <v>0.000162037037037037</v>
      </c>
      <c r="H44" s="88" t="n">
        <v>0.000138888888888889</v>
      </c>
      <c r="I44" s="88" t="n">
        <v>0.000127314814814815</v>
      </c>
      <c r="J44" s="0" t="n">
        <v>1.6</v>
      </c>
      <c r="K44" s="0" t="s">
        <v>186</v>
      </c>
      <c r="L44" s="0" t="n">
        <v>76.5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35" t="n">
        <f aca="false">M44*C44</f>
        <v>0</v>
      </c>
      <c r="S44" s="35" t="n">
        <f aca="false">M44*(MINUTE(G44)*60+SECOND(G44))</f>
        <v>0</v>
      </c>
      <c r="T44" s="35" t="n">
        <f aca="false">N44*$C44</f>
        <v>0</v>
      </c>
      <c r="U44" s="35" t="n">
        <f aca="false">N44*(MINUTE($G44)*60+SECOND($G44))</f>
        <v>0</v>
      </c>
      <c r="V44" s="35" t="n">
        <f aca="false">O44*$C44</f>
        <v>0</v>
      </c>
      <c r="W44" s="35" t="n">
        <f aca="false">O44*(MINUTE($G44)*60+SECOND($G44))</f>
        <v>0</v>
      </c>
      <c r="X44" s="35" t="n">
        <f aca="false">P44*$C44</f>
        <v>0</v>
      </c>
      <c r="Y44" s="35" t="n">
        <f aca="false">P44*(MINUTE($G44)*60+SECOND($G44))</f>
        <v>0</v>
      </c>
      <c r="Z44" s="35" t="n">
        <f aca="false">Q44*$C44</f>
        <v>0</v>
      </c>
      <c r="AA44" s="35" t="n">
        <f aca="false">Q44*(MINUTE($G44)*60+SECOND($G44))</f>
        <v>0</v>
      </c>
    </row>
    <row r="45" customFormat="false" ht="12" hidden="false" customHeight="false" outlineLevel="0" collapsed="false">
      <c r="A45" s="0" t="s">
        <v>168</v>
      </c>
      <c r="B45" s="0" t="s">
        <v>187</v>
      </c>
      <c r="C45" s="0" t="n">
        <v>1312</v>
      </c>
      <c r="E45" s="0" t="n">
        <v>23.6</v>
      </c>
      <c r="F45" s="0" t="n">
        <v>7.3</v>
      </c>
      <c r="G45" s="88" t="n">
        <v>0.000162037037037037</v>
      </c>
      <c r="H45" s="88" t="n">
        <v>0.000138888888888889</v>
      </c>
      <c r="I45" s="88" t="n">
        <v>0.000127314814814815</v>
      </c>
      <c r="J45" s="0" t="n">
        <v>1.6</v>
      </c>
      <c r="K45" s="0" t="s">
        <v>186</v>
      </c>
      <c r="L45" s="0" t="n">
        <v>76.5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35" t="n">
        <f aca="false">M45*C45</f>
        <v>0</v>
      </c>
      <c r="S45" s="35" t="n">
        <f aca="false">M45*(MINUTE(G45)*60+SECOND(G45))</f>
        <v>0</v>
      </c>
      <c r="T45" s="35" t="n">
        <f aca="false">N45*$C45</f>
        <v>0</v>
      </c>
      <c r="U45" s="35" t="n">
        <f aca="false">N45*(MINUTE($G45)*60+SECOND($G45))</f>
        <v>0</v>
      </c>
      <c r="V45" s="35" t="n">
        <f aca="false">O45*$C45</f>
        <v>0</v>
      </c>
      <c r="W45" s="35" t="n">
        <f aca="false">O45*(MINUTE($G45)*60+SECOND($G45))</f>
        <v>0</v>
      </c>
      <c r="X45" s="35" t="n">
        <f aca="false">P45*$C45</f>
        <v>0</v>
      </c>
      <c r="Y45" s="35" t="n">
        <f aca="false">P45*(MINUTE($G45)*60+SECOND($G45))</f>
        <v>0</v>
      </c>
      <c r="Z45" s="35" t="n">
        <f aca="false">Q45*$C45</f>
        <v>0</v>
      </c>
      <c r="AA45" s="35" t="n">
        <f aca="false">Q45*(MINUTE($G45)*60+SECOND($G45))</f>
        <v>0</v>
      </c>
    </row>
    <row r="46" customFormat="false" ht="12" hidden="false" customHeight="false" outlineLevel="0" collapsed="false"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35" t="n">
        <f aca="false">M46*C46</f>
        <v>0</v>
      </c>
      <c r="S46" s="35" t="n">
        <f aca="false">M46*(MINUTE(G46)*60+SECOND(G46))</f>
        <v>0</v>
      </c>
      <c r="T46" s="35" t="n">
        <f aca="false">N46*$C46</f>
        <v>0</v>
      </c>
      <c r="U46" s="35" t="n">
        <f aca="false">N46*(MINUTE($G46)*60+SECOND($G46))</f>
        <v>0</v>
      </c>
      <c r="V46" s="35" t="n">
        <f aca="false">O46*$C46</f>
        <v>0</v>
      </c>
      <c r="W46" s="35" t="n">
        <f aca="false">O46*(MINUTE($G46)*60+SECOND($G46))</f>
        <v>0</v>
      </c>
      <c r="X46" s="35" t="n">
        <f aca="false">P46*$C46</f>
        <v>0</v>
      </c>
      <c r="Y46" s="35" t="n">
        <f aca="false">P46*(MINUTE($G46)*60+SECOND($G46))</f>
        <v>0</v>
      </c>
      <c r="Z46" s="35" t="n">
        <f aca="false">Q46*$C46</f>
        <v>0</v>
      </c>
      <c r="AA46" s="35" t="n">
        <f aca="false">Q46*(MINUTE($G46)*60+SECOND($G46))</f>
        <v>0</v>
      </c>
    </row>
    <row r="47" customFormat="false" ht="12" hidden="false" customHeight="false" outlineLevel="0" collapsed="false"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35" t="n">
        <f aca="false">M47*C47</f>
        <v>0</v>
      </c>
      <c r="S47" s="35" t="n">
        <f aca="false">M47*(MINUTE(G47)*60+SECOND(G47))</f>
        <v>0</v>
      </c>
      <c r="T47" s="35" t="n">
        <f aca="false">N47*$C47</f>
        <v>0</v>
      </c>
      <c r="U47" s="35" t="n">
        <f aca="false">N47*(MINUTE($G47)*60+SECOND($G47))</f>
        <v>0</v>
      </c>
      <c r="V47" s="35" t="n">
        <f aca="false">O47*$C47</f>
        <v>0</v>
      </c>
      <c r="W47" s="35" t="n">
        <f aca="false">O47*(MINUTE($G47)*60+SECOND($G47))</f>
        <v>0</v>
      </c>
      <c r="X47" s="35" t="n">
        <f aca="false">P47*$C47</f>
        <v>0</v>
      </c>
      <c r="Y47" s="35" t="n">
        <f aca="false">P47*(MINUTE($G47)*60+SECOND($G47))</f>
        <v>0</v>
      </c>
      <c r="Z47" s="35" t="n">
        <f aca="false">Q47*$C47</f>
        <v>0</v>
      </c>
      <c r="AA47" s="35" t="n">
        <f aca="false">Q47*(MINUTE($G47)*60+SECOND($G47))</f>
        <v>0</v>
      </c>
    </row>
    <row r="48" customFormat="false" ht="12" hidden="false" customHeight="false" outlineLevel="0" collapsed="false">
      <c r="A48" s="0" t="s">
        <v>165</v>
      </c>
      <c r="B48" s="0" t="s">
        <v>188</v>
      </c>
      <c r="C48" s="0" t="n">
        <v>862</v>
      </c>
      <c r="D48" s="0" t="n">
        <v>224.6</v>
      </c>
      <c r="E48" s="0" t="n">
        <v>4.8</v>
      </c>
      <c r="F48" s="0" t="n">
        <v>1.7</v>
      </c>
      <c r="G48" s="88" t="n">
        <v>0.000752314814814815</v>
      </c>
      <c r="H48" s="88" t="n">
        <v>0.000729166666666667</v>
      </c>
      <c r="I48" s="88" t="n">
        <v>0.000706018518518519</v>
      </c>
      <c r="J48" s="0" t="n">
        <v>3.1</v>
      </c>
      <c r="K48" s="0" t="s">
        <v>189</v>
      </c>
      <c r="L48" s="0" t="n">
        <v>53.5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35" t="n">
        <f aca="false">M48*C48</f>
        <v>862</v>
      </c>
      <c r="S48" s="35" t="n">
        <f aca="false">M48*(MINUTE(G48)*60+SECOND(G48))</f>
        <v>65</v>
      </c>
      <c r="T48" s="35" t="n">
        <f aca="false">N48*$C48</f>
        <v>0</v>
      </c>
      <c r="U48" s="35" t="n">
        <f aca="false">N48*(MINUTE($G48)*60+SECOND($G48))</f>
        <v>0</v>
      </c>
      <c r="V48" s="35" t="n">
        <f aca="false">O48*$C48</f>
        <v>0</v>
      </c>
      <c r="W48" s="35" t="n">
        <f aca="false">O48*(MINUTE($G48)*60+SECOND($G48))</f>
        <v>0</v>
      </c>
      <c r="X48" s="35" t="n">
        <f aca="false">P48*$C48</f>
        <v>0</v>
      </c>
      <c r="Y48" s="35" t="n">
        <f aca="false">P48*(MINUTE($G48)*60+SECOND($G48))</f>
        <v>0</v>
      </c>
      <c r="Z48" s="35" t="n">
        <f aca="false">Q48*$C48</f>
        <v>0</v>
      </c>
      <c r="AA48" s="35" t="n">
        <f aca="false">Q48*(MINUTE($G48)*60+SECOND($G48))</f>
        <v>0</v>
      </c>
    </row>
    <row r="49" customFormat="false" ht="12" hidden="false" customHeight="false" outlineLevel="0" collapsed="false">
      <c r="A49" s="0" t="s">
        <v>168</v>
      </c>
      <c r="B49" s="0" t="s">
        <v>190</v>
      </c>
      <c r="C49" s="0" t="n">
        <v>862</v>
      </c>
      <c r="E49" s="0" t="n">
        <v>4.8</v>
      </c>
      <c r="F49" s="0" t="n">
        <v>1.7</v>
      </c>
      <c r="G49" s="88" t="n">
        <v>0.000752314814814815</v>
      </c>
      <c r="H49" s="88" t="n">
        <v>0.000729166666666667</v>
      </c>
      <c r="I49" s="88" t="n">
        <v>0.000706018518518519</v>
      </c>
      <c r="J49" s="0" t="n">
        <v>3.1</v>
      </c>
      <c r="K49" s="0" t="s">
        <v>189</v>
      </c>
      <c r="L49" s="0" t="n">
        <v>53.5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35" t="n">
        <f aca="false">M49*C49</f>
        <v>0</v>
      </c>
      <c r="S49" s="35" t="n">
        <f aca="false">M49*(MINUTE(G49)*60+SECOND(G49))</f>
        <v>0</v>
      </c>
      <c r="T49" s="35" t="n">
        <f aca="false">N49*$C49</f>
        <v>0</v>
      </c>
      <c r="U49" s="35" t="n">
        <f aca="false">N49*(MINUTE($G49)*60+SECOND($G49))</f>
        <v>0</v>
      </c>
      <c r="V49" s="35" t="n">
        <f aca="false">O49*$C49</f>
        <v>0</v>
      </c>
      <c r="W49" s="35" t="n">
        <f aca="false">O49*(MINUTE($G49)*60+SECOND($G49))</f>
        <v>0</v>
      </c>
      <c r="X49" s="35" t="n">
        <f aca="false">P49*$C49</f>
        <v>0</v>
      </c>
      <c r="Y49" s="35" t="n">
        <f aca="false">P49*(MINUTE($G49)*60+SECOND($G49))</f>
        <v>0</v>
      </c>
      <c r="Z49" s="35" t="n">
        <f aca="false">Q49*$C49</f>
        <v>0</v>
      </c>
      <c r="AA49" s="35" t="n">
        <f aca="false">Q49*(MINUTE($G49)*60+SECOND($G49))</f>
        <v>0</v>
      </c>
    </row>
    <row r="50" customFormat="false" ht="12" hidden="false" customHeight="false" outlineLevel="0" collapsed="false"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35" t="n">
        <f aca="false">M50*C50</f>
        <v>0</v>
      </c>
      <c r="S50" s="35" t="n">
        <f aca="false">M50*(MINUTE(G50)*60+SECOND(G50))</f>
        <v>0</v>
      </c>
      <c r="T50" s="35" t="n">
        <f aca="false">N50*$C50</f>
        <v>0</v>
      </c>
      <c r="U50" s="35" t="n">
        <f aca="false">N50*(MINUTE($G50)*60+SECOND($G50))</f>
        <v>0</v>
      </c>
      <c r="V50" s="35" t="n">
        <f aca="false">O50*$C50</f>
        <v>0</v>
      </c>
      <c r="W50" s="35" t="n">
        <f aca="false">O50*(MINUTE($G50)*60+SECOND($G50))</f>
        <v>0</v>
      </c>
      <c r="X50" s="35" t="n">
        <f aca="false">P50*$C50</f>
        <v>0</v>
      </c>
      <c r="Y50" s="35" t="n">
        <f aca="false">P50*(MINUTE($G50)*60+SECOND($G50))</f>
        <v>0</v>
      </c>
      <c r="Z50" s="35" t="n">
        <f aca="false">Q50*$C50</f>
        <v>0</v>
      </c>
      <c r="AA50" s="35" t="n">
        <f aca="false">Q50*(MINUTE($G50)*60+SECOND($G50))</f>
        <v>0</v>
      </c>
    </row>
    <row r="51" customFormat="false" ht="12" hidden="false" customHeight="false" outlineLevel="0" collapsed="false"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35" t="n">
        <f aca="false">M51*C51</f>
        <v>0</v>
      </c>
      <c r="S51" s="35" t="n">
        <f aca="false">M51*(MINUTE(G51)*60+SECOND(G51))</f>
        <v>0</v>
      </c>
      <c r="T51" s="35" t="n">
        <f aca="false">N51*$C51</f>
        <v>0</v>
      </c>
      <c r="U51" s="35" t="n">
        <f aca="false">N51*(MINUTE($G51)*60+SECOND($G51))</f>
        <v>0</v>
      </c>
      <c r="V51" s="35" t="n">
        <f aca="false">O51*$C51</f>
        <v>0</v>
      </c>
      <c r="W51" s="35" t="n">
        <f aca="false">O51*(MINUTE($G51)*60+SECOND($G51))</f>
        <v>0</v>
      </c>
      <c r="X51" s="35" t="n">
        <f aca="false">P51*$C51</f>
        <v>0</v>
      </c>
      <c r="Y51" s="35" t="n">
        <f aca="false">P51*(MINUTE($G51)*60+SECOND($G51))</f>
        <v>0</v>
      </c>
      <c r="Z51" s="35" t="n">
        <f aca="false">Q51*$C51</f>
        <v>0</v>
      </c>
      <c r="AA51" s="35" t="n">
        <f aca="false">Q51*(MINUTE($G51)*60+SECOND($G51))</f>
        <v>0</v>
      </c>
    </row>
    <row r="52" customFormat="false" ht="12" hidden="false" customHeight="false" outlineLevel="0" collapsed="false">
      <c r="A52" s="0" t="s">
        <v>165</v>
      </c>
      <c r="B52" s="0" t="s">
        <v>191</v>
      </c>
      <c r="C52" s="0" t="n">
        <v>1310</v>
      </c>
      <c r="D52" s="0" t="n">
        <v>82.5</v>
      </c>
      <c r="E52" s="0" t="n">
        <v>22.7</v>
      </c>
      <c r="F52" s="0" t="n">
        <v>7.1</v>
      </c>
      <c r="G52" s="88" t="n">
        <v>0.000173611111111111</v>
      </c>
      <c r="H52" s="88" t="n">
        <v>0.000150462962962963</v>
      </c>
      <c r="I52" s="88" t="n">
        <v>0.000150462962962963</v>
      </c>
      <c r="J52" s="0" t="n">
        <v>1.6</v>
      </c>
      <c r="K52" s="0" t="s">
        <v>192</v>
      </c>
      <c r="L52" s="0" t="n">
        <v>81.6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35" t="n">
        <f aca="false">M52*C52</f>
        <v>0</v>
      </c>
      <c r="S52" s="35" t="n">
        <f aca="false">M52*(MINUTE(G52)*60+SECOND(G52))</f>
        <v>0</v>
      </c>
      <c r="T52" s="35" t="n">
        <f aca="false">N52*$C52</f>
        <v>0</v>
      </c>
      <c r="U52" s="35" t="n">
        <f aca="false">N52*(MINUTE($G52)*60+SECOND($G52))</f>
        <v>0</v>
      </c>
      <c r="V52" s="35" t="n">
        <f aca="false">O52*$C52</f>
        <v>0</v>
      </c>
      <c r="W52" s="35" t="n">
        <f aca="false">O52*(MINUTE($G52)*60+SECOND($G52))</f>
        <v>0</v>
      </c>
      <c r="X52" s="35" t="n">
        <f aca="false">P52*$C52</f>
        <v>0</v>
      </c>
      <c r="Y52" s="35" t="n">
        <f aca="false">P52*(MINUTE($G52)*60+SECOND($G52))</f>
        <v>0</v>
      </c>
      <c r="Z52" s="35" t="n">
        <f aca="false">Q52*$C52</f>
        <v>0</v>
      </c>
      <c r="AA52" s="35" t="n">
        <f aca="false">Q52*(MINUTE($G52)*60+SECOND($G52))</f>
        <v>0</v>
      </c>
    </row>
    <row r="53" customFormat="false" ht="12" hidden="false" customHeight="false" outlineLevel="0" collapsed="false">
      <c r="A53" s="0" t="s">
        <v>168</v>
      </c>
      <c r="B53" s="0" t="s">
        <v>193</v>
      </c>
      <c r="C53" s="0" t="n">
        <v>1310</v>
      </c>
      <c r="E53" s="0" t="n">
        <v>22.7</v>
      </c>
      <c r="F53" s="0" t="n">
        <v>7.1</v>
      </c>
      <c r="G53" s="88" t="n">
        <v>0.000173611111111111</v>
      </c>
      <c r="H53" s="88" t="n">
        <v>0.000150462962962963</v>
      </c>
      <c r="I53" s="88" t="n">
        <v>0.000150462962962963</v>
      </c>
      <c r="J53" s="0" t="n">
        <v>1.6</v>
      </c>
      <c r="K53" s="0" t="s">
        <v>192</v>
      </c>
      <c r="L53" s="0" t="n">
        <v>81.6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35" t="n">
        <f aca="false">M53*C53</f>
        <v>0</v>
      </c>
      <c r="S53" s="35" t="n">
        <f aca="false">M53*(MINUTE(G53)*60+SECOND(G53))</f>
        <v>0</v>
      </c>
      <c r="T53" s="35" t="n">
        <f aca="false">N53*$C53</f>
        <v>0</v>
      </c>
      <c r="U53" s="35" t="n">
        <f aca="false">N53*(MINUTE($G53)*60+SECOND($G53))</f>
        <v>0</v>
      </c>
      <c r="V53" s="35" t="n">
        <f aca="false">O53*$C53</f>
        <v>0</v>
      </c>
      <c r="W53" s="35" t="n">
        <f aca="false">O53*(MINUTE($G53)*60+SECOND($G53))</f>
        <v>0</v>
      </c>
      <c r="X53" s="35" t="n">
        <f aca="false">P53*$C53</f>
        <v>0</v>
      </c>
      <c r="Y53" s="35" t="n">
        <f aca="false">P53*(MINUTE($G53)*60+SECOND($G53))</f>
        <v>0</v>
      </c>
      <c r="Z53" s="35" t="n">
        <f aca="false">Q53*$C53</f>
        <v>0</v>
      </c>
      <c r="AA53" s="35" t="n">
        <f aca="false">Q53*(MINUTE($G53)*60+SECOND($G53))</f>
        <v>0</v>
      </c>
    </row>
    <row r="54" customFormat="false" ht="12" hidden="false" customHeight="false" outlineLevel="0" collapsed="false"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35" t="n">
        <f aca="false">M54*C54</f>
        <v>0</v>
      </c>
      <c r="S54" s="35" t="n">
        <f aca="false">M54*(MINUTE(G54)*60+SECOND(G54))</f>
        <v>0</v>
      </c>
      <c r="T54" s="35" t="n">
        <f aca="false">N54*$C54</f>
        <v>0</v>
      </c>
      <c r="U54" s="35" t="n">
        <f aca="false">N54*(MINUTE($G54)*60+SECOND($G54))</f>
        <v>0</v>
      </c>
      <c r="V54" s="35" t="n">
        <f aca="false">O54*$C54</f>
        <v>0</v>
      </c>
      <c r="W54" s="35" t="n">
        <f aca="false">O54*(MINUTE($G54)*60+SECOND($G54))</f>
        <v>0</v>
      </c>
      <c r="X54" s="35" t="n">
        <f aca="false">P54*$C54</f>
        <v>0</v>
      </c>
      <c r="Y54" s="35" t="n">
        <f aca="false">P54*(MINUTE($G54)*60+SECOND($G54))</f>
        <v>0</v>
      </c>
      <c r="Z54" s="35" t="n">
        <f aca="false">Q54*$C54</f>
        <v>0</v>
      </c>
      <c r="AA54" s="35" t="n">
        <f aca="false">Q54*(MINUTE($G54)*60+SECOND($G54))</f>
        <v>0</v>
      </c>
    </row>
    <row r="55" customFormat="false" ht="12" hidden="false" customHeight="false" outlineLevel="0" collapsed="false"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35" t="n">
        <f aca="false">M55*C55</f>
        <v>0</v>
      </c>
      <c r="S55" s="35" t="n">
        <f aca="false">M55*(MINUTE(G55)*60+SECOND(G55))</f>
        <v>0</v>
      </c>
      <c r="T55" s="35" t="n">
        <f aca="false">N55*$C55</f>
        <v>0</v>
      </c>
      <c r="U55" s="35" t="n">
        <f aca="false">N55*(MINUTE($G55)*60+SECOND($G55))</f>
        <v>0</v>
      </c>
      <c r="V55" s="35" t="n">
        <f aca="false">O55*$C55</f>
        <v>0</v>
      </c>
      <c r="W55" s="35" t="n">
        <f aca="false">O55*(MINUTE($G55)*60+SECOND($G55))</f>
        <v>0</v>
      </c>
      <c r="X55" s="35" t="n">
        <f aca="false">P55*$C55</f>
        <v>0</v>
      </c>
      <c r="Y55" s="35" t="n">
        <f aca="false">P55*(MINUTE($G55)*60+SECOND($G55))</f>
        <v>0</v>
      </c>
      <c r="Z55" s="35" t="n">
        <f aca="false">Q55*$C55</f>
        <v>0</v>
      </c>
      <c r="AA55" s="35" t="n">
        <f aca="false">Q55*(MINUTE($G55)*60+SECOND($G55))</f>
        <v>0</v>
      </c>
    </row>
    <row r="56" customFormat="false" ht="12" hidden="false" customHeight="false" outlineLevel="0" collapsed="false">
      <c r="A56" s="0" t="s">
        <v>165</v>
      </c>
      <c r="B56" s="0" t="s">
        <v>194</v>
      </c>
      <c r="C56" s="0" t="n">
        <v>551</v>
      </c>
      <c r="D56" s="0" t="n">
        <v>62.3</v>
      </c>
      <c r="E56" s="0" t="n">
        <v>9.8</v>
      </c>
      <c r="F56" s="0" t="n">
        <v>8.3</v>
      </c>
      <c r="G56" s="88" t="n">
        <v>0.00484953703703704</v>
      </c>
      <c r="H56" s="88" t="n">
        <v>0.00377314814814815</v>
      </c>
      <c r="I56" s="88" t="n">
        <v>0.00395833333333333</v>
      </c>
      <c r="J56" s="0" t="n">
        <v>1.4</v>
      </c>
      <c r="K56" s="0" t="s">
        <v>195</v>
      </c>
      <c r="L56" s="0" t="n">
        <v>1066.3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35" t="n">
        <f aca="false">M56*C56</f>
        <v>0</v>
      </c>
      <c r="S56" s="35" t="n">
        <f aca="false">M56*(MINUTE(G56)*60+SECOND(G56))</f>
        <v>0</v>
      </c>
      <c r="T56" s="35" t="n">
        <f aca="false">N56*$C56</f>
        <v>0</v>
      </c>
      <c r="U56" s="35" t="n">
        <f aca="false">N56*(MINUTE($G56)*60+SECOND($G56))</f>
        <v>0</v>
      </c>
      <c r="V56" s="35" t="n">
        <f aca="false">O56*$C56</f>
        <v>0</v>
      </c>
      <c r="W56" s="35" t="n">
        <f aca="false">O56*(MINUTE($G56)*60+SECOND($G56))</f>
        <v>0</v>
      </c>
      <c r="X56" s="35" t="n">
        <f aca="false">P56*$C56</f>
        <v>551</v>
      </c>
      <c r="Y56" s="35" t="n">
        <f aca="false">P56*(MINUTE($G56)*60+SECOND($G56))</f>
        <v>419</v>
      </c>
      <c r="Z56" s="35" t="n">
        <f aca="false">Q56*$C56</f>
        <v>0</v>
      </c>
      <c r="AA56" s="35" t="n">
        <f aca="false">Q56*(MINUTE($G56)*60+SECOND($G56))</f>
        <v>0</v>
      </c>
    </row>
    <row r="57" customFormat="false" ht="12" hidden="false" customHeight="false" outlineLevel="0" collapsed="false">
      <c r="A57" s="0" t="s">
        <v>168</v>
      </c>
      <c r="B57" s="0" t="s">
        <v>193</v>
      </c>
      <c r="C57" s="0" t="n">
        <v>551</v>
      </c>
      <c r="E57" s="0" t="n">
        <v>9.8</v>
      </c>
      <c r="F57" s="0" t="n">
        <v>8.3</v>
      </c>
      <c r="G57" s="88" t="n">
        <v>0.00484953703703704</v>
      </c>
      <c r="H57" s="88" t="n">
        <v>0.00377314814814815</v>
      </c>
      <c r="I57" s="88" t="n">
        <v>0.00395833333333333</v>
      </c>
      <c r="J57" s="0" t="n">
        <v>1.4</v>
      </c>
      <c r="K57" s="0" t="s">
        <v>195</v>
      </c>
      <c r="L57" s="0" t="n">
        <v>1066.3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35" t="n">
        <f aca="false">M57*C57</f>
        <v>0</v>
      </c>
      <c r="S57" s="35" t="n">
        <f aca="false">M57*(MINUTE(G57)*60+SECOND(G57))</f>
        <v>0</v>
      </c>
      <c r="T57" s="35" t="n">
        <f aca="false">N57*$C57</f>
        <v>0</v>
      </c>
      <c r="U57" s="35" t="n">
        <f aca="false">N57*(MINUTE($G57)*60+SECOND($G57))</f>
        <v>0</v>
      </c>
      <c r="V57" s="35" t="n">
        <f aca="false">O57*$C57</f>
        <v>0</v>
      </c>
      <c r="W57" s="35" t="n">
        <f aca="false">O57*(MINUTE($G57)*60+SECOND($G57))</f>
        <v>0</v>
      </c>
      <c r="X57" s="35" t="n">
        <f aca="false">P57*$C57</f>
        <v>0</v>
      </c>
      <c r="Y57" s="35" t="n">
        <f aca="false">P57*(MINUTE($G57)*60+SECOND($G57))</f>
        <v>0</v>
      </c>
      <c r="Z57" s="35" t="n">
        <f aca="false">Q57*$C57</f>
        <v>0</v>
      </c>
      <c r="AA57" s="35" t="n">
        <f aca="false">Q57*(MINUTE($G57)*60+SECOND($G57))</f>
        <v>0</v>
      </c>
    </row>
    <row r="58" customFormat="false" ht="12" hidden="false" customHeight="false" outlineLevel="0" collapsed="false"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35" t="n">
        <f aca="false">M58*C58</f>
        <v>0</v>
      </c>
      <c r="S58" s="35" t="n">
        <f aca="false">M58*(MINUTE(G58)*60+SECOND(G58))</f>
        <v>0</v>
      </c>
      <c r="T58" s="35" t="n">
        <f aca="false">N58*$C58</f>
        <v>0</v>
      </c>
      <c r="U58" s="35" t="n">
        <f aca="false">N58*(MINUTE($G58)*60+SECOND($G58))</f>
        <v>0</v>
      </c>
      <c r="V58" s="35" t="n">
        <f aca="false">O58*$C58</f>
        <v>0</v>
      </c>
      <c r="W58" s="35" t="n">
        <f aca="false">O58*(MINUTE($G58)*60+SECOND($G58))</f>
        <v>0</v>
      </c>
      <c r="X58" s="35" t="n">
        <f aca="false">P58*$C58</f>
        <v>0</v>
      </c>
      <c r="Y58" s="35" t="n">
        <f aca="false">P58*(MINUTE($G58)*60+SECOND($G58))</f>
        <v>0</v>
      </c>
      <c r="Z58" s="35" t="n">
        <f aca="false">Q58*$C58</f>
        <v>0</v>
      </c>
      <c r="AA58" s="35" t="n">
        <f aca="false">Q58*(MINUTE($G58)*60+SECOND($G58))</f>
        <v>0</v>
      </c>
    </row>
    <row r="59" customFormat="false" ht="12" hidden="false" customHeight="false" outlineLevel="0" collapsed="false"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35" t="n">
        <f aca="false">M59*C59</f>
        <v>0</v>
      </c>
      <c r="S59" s="35" t="n">
        <f aca="false">M59*(MINUTE(G59)*60+SECOND(G59))</f>
        <v>0</v>
      </c>
      <c r="T59" s="35" t="n">
        <f aca="false">N59*$C59</f>
        <v>0</v>
      </c>
      <c r="U59" s="35" t="n">
        <f aca="false">N59*(MINUTE($G59)*60+SECOND($G59))</f>
        <v>0</v>
      </c>
      <c r="V59" s="35" t="n">
        <f aca="false">O59*$C59</f>
        <v>0</v>
      </c>
      <c r="W59" s="35" t="n">
        <f aca="false">O59*(MINUTE($G59)*60+SECOND($G59))</f>
        <v>0</v>
      </c>
      <c r="X59" s="35" t="n">
        <f aca="false">P59*$C59</f>
        <v>0</v>
      </c>
      <c r="Y59" s="35" t="n">
        <f aca="false">P59*(MINUTE($G59)*60+SECOND($G59))</f>
        <v>0</v>
      </c>
      <c r="Z59" s="35" t="n">
        <f aca="false">Q59*$C59</f>
        <v>0</v>
      </c>
      <c r="AA59" s="35" t="n">
        <f aca="false">Q59*(MINUTE($G59)*60+SECOND($G59))</f>
        <v>0</v>
      </c>
    </row>
    <row r="60" customFormat="false" ht="12" hidden="false" customHeight="false" outlineLevel="0" collapsed="false">
      <c r="A60" s="0" t="s">
        <v>165</v>
      </c>
      <c r="B60" s="0" t="s">
        <v>196</v>
      </c>
      <c r="C60" s="0" t="n">
        <v>1859</v>
      </c>
      <c r="D60" s="0" t="n">
        <v>80.4</v>
      </c>
      <c r="E60" s="0" t="n">
        <v>22.3</v>
      </c>
      <c r="F60" s="0" t="n">
        <v>9</v>
      </c>
      <c r="G60" s="88" t="n">
        <v>0.000914351851851852</v>
      </c>
      <c r="H60" s="88" t="n">
        <v>0.000752314814814815</v>
      </c>
      <c r="I60" s="88" t="n">
        <v>0.000555555555555556</v>
      </c>
      <c r="J60" s="0" t="n">
        <v>6.3</v>
      </c>
      <c r="K60" s="0" t="s">
        <v>197</v>
      </c>
      <c r="L60" s="0" t="n">
        <v>744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35" t="n">
        <f aca="false">M60*C60</f>
        <v>0</v>
      </c>
      <c r="S60" s="35" t="n">
        <f aca="false">M60*(MINUTE(G60)*60+SECOND(G60))</f>
        <v>0</v>
      </c>
      <c r="T60" s="35" t="n">
        <f aca="false">N60*$C60</f>
        <v>0</v>
      </c>
      <c r="U60" s="35" t="n">
        <f aca="false">N60*(MINUTE($G60)*60+SECOND($G60))</f>
        <v>0</v>
      </c>
      <c r="V60" s="35" t="n">
        <f aca="false">O60*$C60</f>
        <v>0</v>
      </c>
      <c r="W60" s="35" t="n">
        <f aca="false">O60*(MINUTE($G60)*60+SECOND($G60))</f>
        <v>0</v>
      </c>
      <c r="X60" s="35" t="n">
        <f aca="false">P60*$C60</f>
        <v>1859</v>
      </c>
      <c r="Y60" s="35" t="n">
        <f aca="false">P60*(MINUTE($G60)*60+SECOND($G60))</f>
        <v>79</v>
      </c>
      <c r="Z60" s="35" t="n">
        <f aca="false">Q60*$C60</f>
        <v>0</v>
      </c>
      <c r="AA60" s="35" t="n">
        <f aca="false">Q60*(MINUTE($G60)*60+SECOND($G60))</f>
        <v>0</v>
      </c>
    </row>
    <row r="61" customFormat="false" ht="12" hidden="false" customHeight="false" outlineLevel="0" collapsed="false">
      <c r="A61" s="0" t="s">
        <v>168</v>
      </c>
      <c r="B61" s="0" t="s">
        <v>198</v>
      </c>
      <c r="C61" s="0" t="n">
        <v>1859</v>
      </c>
      <c r="E61" s="0" t="n">
        <v>22.3</v>
      </c>
      <c r="F61" s="0" t="n">
        <v>9</v>
      </c>
      <c r="G61" s="88" t="n">
        <v>0.000914351851851852</v>
      </c>
      <c r="H61" s="88" t="n">
        <v>0.000752314814814815</v>
      </c>
      <c r="I61" s="88" t="n">
        <v>0.000555555555555556</v>
      </c>
      <c r="J61" s="0" t="n">
        <v>6.3</v>
      </c>
      <c r="K61" s="0" t="s">
        <v>199</v>
      </c>
      <c r="L61" s="0" t="n">
        <v>744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35" t="n">
        <f aca="false">M61*C61</f>
        <v>0</v>
      </c>
      <c r="S61" s="35" t="n">
        <f aca="false">M61*(MINUTE(G61)*60+SECOND(G61))</f>
        <v>0</v>
      </c>
      <c r="T61" s="35" t="n">
        <f aca="false">N61*$C61</f>
        <v>0</v>
      </c>
      <c r="U61" s="35" t="n">
        <f aca="false">N61*(MINUTE($G61)*60+SECOND($G61))</f>
        <v>0</v>
      </c>
      <c r="V61" s="35" t="n">
        <f aca="false">O61*$C61</f>
        <v>0</v>
      </c>
      <c r="W61" s="35" t="n">
        <f aca="false">O61*(MINUTE($G61)*60+SECOND($G61))</f>
        <v>0</v>
      </c>
      <c r="X61" s="35" t="n">
        <f aca="false">P61*$C61</f>
        <v>0</v>
      </c>
      <c r="Y61" s="35" t="n">
        <f aca="false">P61*(MINUTE($G61)*60+SECOND($G61))</f>
        <v>0</v>
      </c>
      <c r="Z61" s="35" t="n">
        <f aca="false">Q61*$C61</f>
        <v>0</v>
      </c>
      <c r="AA61" s="35" t="n">
        <f aca="false">Q61*(MINUTE($G61)*60+SECOND($G61))</f>
        <v>0</v>
      </c>
    </row>
    <row r="62" customFormat="false" ht="12" hidden="false" customHeight="false" outlineLevel="0" collapsed="false"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35" t="n">
        <f aca="false">M62*C62</f>
        <v>0</v>
      </c>
      <c r="S62" s="35" t="n">
        <f aca="false">M62*(MINUTE(G62)*60+SECOND(G62))</f>
        <v>0</v>
      </c>
      <c r="T62" s="35" t="n">
        <f aca="false">N62*$C62</f>
        <v>0</v>
      </c>
      <c r="U62" s="35" t="n">
        <f aca="false">N62*(MINUTE($G62)*60+SECOND($G62))</f>
        <v>0</v>
      </c>
      <c r="V62" s="35" t="n">
        <f aca="false">O62*$C62</f>
        <v>0</v>
      </c>
      <c r="W62" s="35" t="n">
        <f aca="false">O62*(MINUTE($G62)*60+SECOND($G62))</f>
        <v>0</v>
      </c>
      <c r="X62" s="35" t="n">
        <f aca="false">P62*$C62</f>
        <v>0</v>
      </c>
      <c r="Y62" s="35" t="n">
        <f aca="false">P62*(MINUTE($G62)*60+SECOND($G62))</f>
        <v>0</v>
      </c>
      <c r="Z62" s="35" t="n">
        <f aca="false">Q62*$C62</f>
        <v>0</v>
      </c>
      <c r="AA62" s="35" t="n">
        <f aca="false">Q62*(MINUTE($G62)*60+SECOND($G62))</f>
        <v>0</v>
      </c>
    </row>
    <row r="63" customFormat="false" ht="12" hidden="false" customHeight="false" outlineLevel="0" collapsed="false"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35" t="n">
        <f aca="false">M63*C63</f>
        <v>0</v>
      </c>
      <c r="S63" s="35" t="n">
        <f aca="false">M63*(MINUTE(G63)*60+SECOND(G63))</f>
        <v>0</v>
      </c>
      <c r="T63" s="35" t="n">
        <f aca="false">N63*$C63</f>
        <v>0</v>
      </c>
      <c r="U63" s="35" t="n">
        <f aca="false">N63*(MINUTE($G63)*60+SECOND($G63))</f>
        <v>0</v>
      </c>
      <c r="V63" s="35" t="n">
        <f aca="false">O63*$C63</f>
        <v>0</v>
      </c>
      <c r="W63" s="35" t="n">
        <f aca="false">O63*(MINUTE($G63)*60+SECOND($G63))</f>
        <v>0</v>
      </c>
      <c r="X63" s="35" t="n">
        <f aca="false">P63*$C63</f>
        <v>0</v>
      </c>
      <c r="Y63" s="35" t="n">
        <f aca="false">P63*(MINUTE($G63)*60+SECOND($G63))</f>
        <v>0</v>
      </c>
      <c r="Z63" s="35" t="n">
        <f aca="false">Q63*$C63</f>
        <v>0</v>
      </c>
      <c r="AA63" s="35" t="n">
        <f aca="false">Q63*(MINUTE($G63)*60+SECOND($G63))</f>
        <v>0</v>
      </c>
    </row>
    <row r="64" customFormat="false" ht="12" hidden="false" customHeight="false" outlineLevel="0" collapsed="false">
      <c r="A64" s="0" t="s">
        <v>165</v>
      </c>
      <c r="B64" s="0" t="s">
        <v>200</v>
      </c>
      <c r="C64" s="0" t="n">
        <v>293</v>
      </c>
      <c r="D64" s="0" t="n">
        <v>166.5</v>
      </c>
      <c r="E64" s="0" t="n">
        <v>18.8</v>
      </c>
      <c r="F64" s="0" t="n">
        <v>1.9</v>
      </c>
      <c r="G64" s="88" t="n">
        <v>0.021099537037037</v>
      </c>
      <c r="H64" s="88" t="n">
        <v>0.0200231481481481</v>
      </c>
      <c r="I64" s="88" t="n">
        <v>0.0201967592592593</v>
      </c>
      <c r="J64" s="0" t="n">
        <v>0.9</v>
      </c>
      <c r="K64" s="0" t="s">
        <v>201</v>
      </c>
      <c r="L64" s="0" t="n">
        <v>565.3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35" t="n">
        <f aca="false">M64*C64</f>
        <v>0</v>
      </c>
      <c r="S64" s="35" t="n">
        <f aca="false">M64*(MINUTE(G64)*60+SECOND(G64))</f>
        <v>0</v>
      </c>
      <c r="T64" s="35" t="n">
        <f aca="false">N64*$C64</f>
        <v>293</v>
      </c>
      <c r="U64" s="35" t="n">
        <f aca="false">N64*(MINUTE($G64)*60+SECOND($G64))</f>
        <v>1823</v>
      </c>
      <c r="V64" s="35" t="n">
        <f aca="false">O64*$C64</f>
        <v>0</v>
      </c>
      <c r="W64" s="35" t="n">
        <f aca="false">O64*(MINUTE($G64)*60+SECOND($G64))</f>
        <v>0</v>
      </c>
      <c r="X64" s="35" t="n">
        <f aca="false">P64*$C64</f>
        <v>0</v>
      </c>
      <c r="Y64" s="35" t="n">
        <f aca="false">P64*(MINUTE($G64)*60+SECOND($G64))</f>
        <v>0</v>
      </c>
      <c r="Z64" s="35" t="n">
        <f aca="false">Q64*$C64</f>
        <v>0</v>
      </c>
      <c r="AA64" s="35" t="n">
        <f aca="false">Q64*(MINUTE($G64)*60+SECOND($G64))</f>
        <v>0</v>
      </c>
    </row>
    <row r="65" customFormat="false" ht="12" hidden="false" customHeight="false" outlineLevel="0" collapsed="false">
      <c r="A65" s="0" t="s">
        <v>168</v>
      </c>
      <c r="B65" s="0" t="s">
        <v>190</v>
      </c>
      <c r="C65" s="0" t="n">
        <v>293</v>
      </c>
      <c r="E65" s="0" t="n">
        <v>18.8</v>
      </c>
      <c r="F65" s="0" t="n">
        <v>1.9</v>
      </c>
      <c r="G65" s="88" t="n">
        <v>0.021099537037037</v>
      </c>
      <c r="H65" s="88" t="n">
        <v>0.0200231481481481</v>
      </c>
      <c r="I65" s="88" t="n">
        <v>0.0201967592592593</v>
      </c>
      <c r="J65" s="0" t="n">
        <v>0.9</v>
      </c>
      <c r="K65" s="0" t="s">
        <v>201</v>
      </c>
      <c r="L65" s="0" t="n">
        <v>565.3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35" t="n">
        <f aca="false">M65*C65</f>
        <v>0</v>
      </c>
      <c r="S65" s="35" t="n">
        <f aca="false">M65*(MINUTE(G65)*60+SECOND(G65))</f>
        <v>0</v>
      </c>
      <c r="T65" s="35" t="n">
        <f aca="false">N65*$C65</f>
        <v>0</v>
      </c>
      <c r="U65" s="35" t="n">
        <f aca="false">N65*(MINUTE($G65)*60+SECOND($G65))</f>
        <v>0</v>
      </c>
      <c r="V65" s="35" t="n">
        <f aca="false">O65*$C65</f>
        <v>0</v>
      </c>
      <c r="W65" s="35" t="n">
        <f aca="false">O65*(MINUTE($G65)*60+SECOND($G65))</f>
        <v>0</v>
      </c>
      <c r="X65" s="35" t="n">
        <f aca="false">P65*$C65</f>
        <v>0</v>
      </c>
      <c r="Y65" s="35" t="n">
        <f aca="false">P65*(MINUTE($G65)*60+SECOND($G65))</f>
        <v>0</v>
      </c>
      <c r="Z65" s="35" t="n">
        <f aca="false">Q65*$C65</f>
        <v>0</v>
      </c>
      <c r="AA65" s="35" t="n">
        <f aca="false">Q65*(MINUTE($G65)*60+SECOND($G65))</f>
        <v>0</v>
      </c>
    </row>
    <row r="66" customFormat="false" ht="12" hidden="false" customHeight="false" outlineLevel="0" collapsed="false"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35" t="n">
        <f aca="false">M66*C66</f>
        <v>0</v>
      </c>
      <c r="S66" s="35" t="n">
        <f aca="false">M66*(MINUTE(G66)*60+SECOND(G66))</f>
        <v>0</v>
      </c>
      <c r="T66" s="35" t="n">
        <f aca="false">N66*$C66</f>
        <v>0</v>
      </c>
      <c r="U66" s="35" t="n">
        <f aca="false">N66*(MINUTE($G66)*60+SECOND($G66))</f>
        <v>0</v>
      </c>
      <c r="V66" s="35" t="n">
        <f aca="false">O66*$C66</f>
        <v>0</v>
      </c>
      <c r="W66" s="35" t="n">
        <f aca="false">O66*(MINUTE($G66)*60+SECOND($G66))</f>
        <v>0</v>
      </c>
      <c r="X66" s="35" t="n">
        <f aca="false">P66*$C66</f>
        <v>0</v>
      </c>
      <c r="Y66" s="35" t="n">
        <f aca="false">P66*(MINUTE($G66)*60+SECOND($G66))</f>
        <v>0</v>
      </c>
      <c r="Z66" s="35" t="n">
        <f aca="false">Q66*$C66</f>
        <v>0</v>
      </c>
      <c r="AA66" s="35" t="n">
        <f aca="false">Q66*(MINUTE($G66)*60+SECOND($G66))</f>
        <v>0</v>
      </c>
    </row>
    <row r="67" customFormat="false" ht="12" hidden="false" customHeight="false" outlineLevel="0" collapsed="false"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35" t="n">
        <f aca="false">M67*C67</f>
        <v>0</v>
      </c>
      <c r="S67" s="35" t="n">
        <f aca="false">M67*(MINUTE(G67)*60+SECOND(G67))</f>
        <v>0</v>
      </c>
      <c r="T67" s="35" t="n">
        <f aca="false">N67*$C67</f>
        <v>0</v>
      </c>
      <c r="U67" s="35" t="n">
        <f aca="false">N67*(MINUTE($G67)*60+SECOND($G67))</f>
        <v>0</v>
      </c>
      <c r="V67" s="35" t="n">
        <f aca="false">O67*$C67</f>
        <v>0</v>
      </c>
      <c r="W67" s="35" t="n">
        <f aca="false">O67*(MINUTE($G67)*60+SECOND($G67))</f>
        <v>0</v>
      </c>
      <c r="X67" s="35" t="n">
        <f aca="false">P67*$C67</f>
        <v>0</v>
      </c>
      <c r="Y67" s="35" t="n">
        <f aca="false">P67*(MINUTE($G67)*60+SECOND($G67))</f>
        <v>0</v>
      </c>
      <c r="Z67" s="35" t="n">
        <f aca="false">Q67*$C67</f>
        <v>0</v>
      </c>
      <c r="AA67" s="35" t="n">
        <f aca="false">Q67*(MINUTE($G67)*60+SECOND($G67))</f>
        <v>0</v>
      </c>
    </row>
    <row r="68" customFormat="false" ht="12" hidden="false" customHeight="false" outlineLevel="0" collapsed="false">
      <c r="A68" s="0" t="s">
        <v>165</v>
      </c>
      <c r="B68" s="0" t="s">
        <v>202</v>
      </c>
      <c r="C68" s="0" t="n">
        <v>1149</v>
      </c>
      <c r="D68" s="0" t="n">
        <v>208.9</v>
      </c>
      <c r="E68" s="0" t="n">
        <v>6.4</v>
      </c>
      <c r="F68" s="0" t="n">
        <v>2.1</v>
      </c>
      <c r="G68" s="88" t="n">
        <v>0.00392361111111111</v>
      </c>
      <c r="H68" s="88" t="n">
        <v>0.00375</v>
      </c>
      <c r="I68" s="88" t="n">
        <v>0.00335648148148148</v>
      </c>
      <c r="J68" s="0" t="n">
        <v>9.9</v>
      </c>
      <c r="K68" s="0" t="s">
        <v>203</v>
      </c>
      <c r="L68" s="0" t="n">
        <v>465.1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35" t="n">
        <f aca="false">M68*C68</f>
        <v>1149</v>
      </c>
      <c r="S68" s="35" t="n">
        <f aca="false">M68*(MINUTE(G68)*60+SECOND(G68))</f>
        <v>339</v>
      </c>
      <c r="T68" s="35" t="n">
        <f aca="false">N68*$C68</f>
        <v>1149</v>
      </c>
      <c r="U68" s="35" t="n">
        <f aca="false">N68*(MINUTE($G68)*60+SECOND($G68))</f>
        <v>339</v>
      </c>
      <c r="V68" s="35" t="n">
        <f aca="false">O68*$C68</f>
        <v>0</v>
      </c>
      <c r="W68" s="35" t="n">
        <f aca="false">O68*(MINUTE($G68)*60+SECOND($G68))</f>
        <v>0</v>
      </c>
      <c r="X68" s="35" t="n">
        <f aca="false">P68*$C68</f>
        <v>0</v>
      </c>
      <c r="Y68" s="35" t="n">
        <f aca="false">P68*(MINUTE($G68)*60+SECOND($G68))</f>
        <v>0</v>
      </c>
      <c r="Z68" s="35" t="n">
        <f aca="false">Q68*$C68</f>
        <v>0</v>
      </c>
      <c r="AA68" s="35" t="n">
        <f aca="false">Q68*(MINUTE($G68)*60+SECOND($G68))</f>
        <v>0</v>
      </c>
    </row>
    <row r="69" customFormat="false" ht="12" hidden="false" customHeight="false" outlineLevel="0" collapsed="false">
      <c r="A69" s="0" t="s">
        <v>168</v>
      </c>
      <c r="B69" s="0" t="s">
        <v>204</v>
      </c>
      <c r="C69" s="0" t="n">
        <v>1149</v>
      </c>
      <c r="E69" s="0" t="n">
        <v>6.4</v>
      </c>
      <c r="F69" s="0" t="n">
        <v>2.1</v>
      </c>
      <c r="G69" s="88" t="n">
        <v>0.00392361111111111</v>
      </c>
      <c r="H69" s="88" t="n">
        <v>0.00375</v>
      </c>
      <c r="I69" s="88" t="n">
        <v>0.00335648148148148</v>
      </c>
      <c r="J69" s="0" t="n">
        <v>9.9</v>
      </c>
      <c r="K69" s="0" t="s">
        <v>205</v>
      </c>
      <c r="L69" s="0" t="n">
        <v>465.1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35" t="n">
        <f aca="false">M69*C69</f>
        <v>0</v>
      </c>
      <c r="S69" s="35" t="n">
        <f aca="false">M69*(MINUTE(G69)*60+SECOND(G69))</f>
        <v>0</v>
      </c>
      <c r="T69" s="35" t="n">
        <f aca="false">N69*$C69</f>
        <v>0</v>
      </c>
      <c r="U69" s="35" t="n">
        <f aca="false">N69*(MINUTE($G69)*60+SECOND($G69))</f>
        <v>0</v>
      </c>
      <c r="V69" s="35" t="n">
        <f aca="false">O69*$C69</f>
        <v>0</v>
      </c>
      <c r="W69" s="35" t="n">
        <f aca="false">O69*(MINUTE($G69)*60+SECOND($G69))</f>
        <v>0</v>
      </c>
      <c r="X69" s="35" t="n">
        <f aca="false">P69*$C69</f>
        <v>0</v>
      </c>
      <c r="Y69" s="35" t="n">
        <f aca="false">P69*(MINUTE($G69)*60+SECOND($G69))</f>
        <v>0</v>
      </c>
      <c r="Z69" s="35" t="n">
        <f aca="false">Q69*$C69</f>
        <v>0</v>
      </c>
      <c r="AA69" s="35" t="n">
        <f aca="false">Q69*(MINUTE($G69)*60+SECOND($G69))</f>
        <v>0</v>
      </c>
    </row>
    <row r="70" customFormat="false" ht="12" hidden="false" customHeight="false" outlineLevel="0" collapsed="false"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35" t="n">
        <f aca="false">M70*C70</f>
        <v>0</v>
      </c>
      <c r="S70" s="35" t="n">
        <f aca="false">M70*(MINUTE(G70)*60+SECOND(G70))</f>
        <v>0</v>
      </c>
      <c r="T70" s="35" t="n">
        <f aca="false">N70*$C70</f>
        <v>0</v>
      </c>
      <c r="U70" s="35" t="n">
        <f aca="false">N70*(MINUTE($G70)*60+SECOND($G70))</f>
        <v>0</v>
      </c>
      <c r="V70" s="35" t="n">
        <f aca="false">O70*$C70</f>
        <v>0</v>
      </c>
      <c r="W70" s="35" t="n">
        <f aca="false">O70*(MINUTE($G70)*60+SECOND($G70))</f>
        <v>0</v>
      </c>
      <c r="X70" s="35" t="n">
        <f aca="false">P70*$C70</f>
        <v>0</v>
      </c>
      <c r="Y70" s="35" t="n">
        <f aca="false">P70*(MINUTE($G70)*60+SECOND($G70))</f>
        <v>0</v>
      </c>
      <c r="Z70" s="35" t="n">
        <f aca="false">Q70*$C70</f>
        <v>0</v>
      </c>
      <c r="AA70" s="35" t="n">
        <f aca="false">Q70*(MINUTE($G70)*60+SECOND($G70))</f>
        <v>0</v>
      </c>
    </row>
    <row r="71" customFormat="false" ht="12" hidden="false" customHeight="false" outlineLevel="0" collapsed="false"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35" t="n">
        <f aca="false">M71*C71</f>
        <v>0</v>
      </c>
      <c r="S71" s="35" t="n">
        <f aca="false">M71*(MINUTE(G71)*60+SECOND(G71))</f>
        <v>0</v>
      </c>
      <c r="T71" s="35" t="n">
        <f aca="false">N71*$C71</f>
        <v>0</v>
      </c>
      <c r="U71" s="35" t="n">
        <f aca="false">N71*(MINUTE($G71)*60+SECOND($G71))</f>
        <v>0</v>
      </c>
      <c r="V71" s="35" t="n">
        <f aca="false">O71*$C71</f>
        <v>0</v>
      </c>
      <c r="W71" s="35" t="n">
        <f aca="false">O71*(MINUTE($G71)*60+SECOND($G71))</f>
        <v>0</v>
      </c>
      <c r="X71" s="35" t="n">
        <f aca="false">P71*$C71</f>
        <v>0</v>
      </c>
      <c r="Y71" s="35" t="n">
        <f aca="false">P71*(MINUTE($G71)*60+SECOND($G71))</f>
        <v>0</v>
      </c>
      <c r="Z71" s="35" t="n">
        <f aca="false">Q71*$C71</f>
        <v>0</v>
      </c>
      <c r="AA71" s="35" t="n">
        <f aca="false">Q71*(MINUTE($G71)*60+SECOND($G71))</f>
        <v>0</v>
      </c>
    </row>
    <row r="72" customFormat="false" ht="12" hidden="false" customHeight="false" outlineLevel="0" collapsed="false">
      <c r="A72" s="0" t="s">
        <v>165</v>
      </c>
      <c r="B72" s="0" t="s">
        <v>206</v>
      </c>
      <c r="C72" s="0" t="n">
        <v>1459</v>
      </c>
      <c r="D72" s="0" t="n">
        <v>130.9</v>
      </c>
      <c r="E72" s="0" t="n">
        <v>12.1</v>
      </c>
      <c r="F72" s="0" t="n">
        <v>4</v>
      </c>
      <c r="G72" s="88" t="n">
        <v>0.00125</v>
      </c>
      <c r="H72" s="88" t="n">
        <v>0.00114583333333333</v>
      </c>
      <c r="I72" s="88" t="n">
        <v>0.000960648148148148</v>
      </c>
      <c r="J72" s="0" t="n">
        <v>3.2</v>
      </c>
      <c r="K72" s="0" t="s">
        <v>207</v>
      </c>
      <c r="L72" s="0" t="n">
        <v>350.3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35" t="n">
        <f aca="false">M72*C72</f>
        <v>1459</v>
      </c>
      <c r="S72" s="35" t="n">
        <f aca="false">M72*(MINUTE(G72)*60+SECOND(G72))</f>
        <v>108</v>
      </c>
      <c r="T72" s="35" t="n">
        <f aca="false">N72*$C72</f>
        <v>1459</v>
      </c>
      <c r="U72" s="35" t="n">
        <f aca="false">N72*(MINUTE($G72)*60+SECOND($G72))</f>
        <v>108</v>
      </c>
      <c r="V72" s="35" t="n">
        <f aca="false">O72*$C72</f>
        <v>1459</v>
      </c>
      <c r="W72" s="35" t="n">
        <f aca="false">O72*(MINUTE($G72)*60+SECOND($G72))</f>
        <v>108</v>
      </c>
      <c r="X72" s="35" t="n">
        <f aca="false">P72*$C72</f>
        <v>0</v>
      </c>
      <c r="Y72" s="35" t="n">
        <f aca="false">P72*(MINUTE($G72)*60+SECOND($G72))</f>
        <v>0</v>
      </c>
      <c r="Z72" s="35" t="n">
        <f aca="false">Q72*$C72</f>
        <v>0</v>
      </c>
      <c r="AA72" s="35" t="n">
        <f aca="false">Q72*(MINUTE($G72)*60+SECOND($G72))</f>
        <v>0</v>
      </c>
    </row>
    <row r="73" customFormat="false" ht="12" hidden="false" customHeight="false" outlineLevel="0" collapsed="false">
      <c r="A73" s="0" t="s">
        <v>168</v>
      </c>
      <c r="B73" s="0" t="s">
        <v>208</v>
      </c>
      <c r="C73" s="0" t="n">
        <v>1459</v>
      </c>
      <c r="E73" s="0" t="n">
        <v>12.1</v>
      </c>
      <c r="F73" s="0" t="n">
        <v>4</v>
      </c>
      <c r="G73" s="88" t="n">
        <v>0.00125</v>
      </c>
      <c r="H73" s="88" t="n">
        <v>0.00114583333333333</v>
      </c>
      <c r="I73" s="88" t="n">
        <v>0.000960648148148148</v>
      </c>
      <c r="J73" s="0" t="n">
        <v>3.2</v>
      </c>
      <c r="K73" s="0" t="s">
        <v>209</v>
      </c>
      <c r="L73" s="0" t="n">
        <v>350.3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35" t="n">
        <f aca="false">M73*C73</f>
        <v>0</v>
      </c>
      <c r="S73" s="35" t="n">
        <f aca="false">M73*(MINUTE(G73)*60+SECOND(G73))</f>
        <v>0</v>
      </c>
      <c r="T73" s="35" t="n">
        <f aca="false">N73*$C73</f>
        <v>0</v>
      </c>
      <c r="U73" s="35" t="n">
        <f aca="false">N73*(MINUTE($G73)*60+SECOND($G73))</f>
        <v>0</v>
      </c>
      <c r="V73" s="35" t="n">
        <f aca="false">O73*$C73</f>
        <v>0</v>
      </c>
      <c r="W73" s="35" t="n">
        <f aca="false">O73*(MINUTE($G73)*60+SECOND($G73))</f>
        <v>0</v>
      </c>
      <c r="X73" s="35" t="n">
        <f aca="false">P73*$C73</f>
        <v>0</v>
      </c>
      <c r="Y73" s="35" t="n">
        <f aca="false">P73*(MINUTE($G73)*60+SECOND($G73))</f>
        <v>0</v>
      </c>
      <c r="Z73" s="35" t="n">
        <f aca="false">Q73*$C73</f>
        <v>0</v>
      </c>
      <c r="AA73" s="35" t="n">
        <f aca="false">Q73*(MINUTE($G73)*60+SECOND($G73))</f>
        <v>0</v>
      </c>
    </row>
    <row r="74" customFormat="false" ht="12" hidden="false" customHeight="false" outlineLevel="0" collapsed="false"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35" t="n">
        <f aca="false">M74*C74</f>
        <v>0</v>
      </c>
      <c r="S74" s="35" t="n">
        <f aca="false">M74*(MINUTE(G74)*60+SECOND(G74))</f>
        <v>0</v>
      </c>
      <c r="T74" s="35" t="n">
        <f aca="false">N74*$C74</f>
        <v>0</v>
      </c>
      <c r="U74" s="35" t="n">
        <f aca="false">N74*(MINUTE($G74)*60+SECOND($G74))</f>
        <v>0</v>
      </c>
      <c r="V74" s="35" t="n">
        <f aca="false">O74*$C74</f>
        <v>0</v>
      </c>
      <c r="W74" s="35" t="n">
        <f aca="false">O74*(MINUTE($G74)*60+SECOND($G74))</f>
        <v>0</v>
      </c>
      <c r="X74" s="35" t="n">
        <f aca="false">P74*$C74</f>
        <v>0</v>
      </c>
      <c r="Y74" s="35" t="n">
        <f aca="false">P74*(MINUTE($G74)*60+SECOND($G74))</f>
        <v>0</v>
      </c>
      <c r="Z74" s="35" t="n">
        <f aca="false">Q74*$C74</f>
        <v>0</v>
      </c>
      <c r="AA74" s="35" t="n">
        <f aca="false">Q74*(MINUTE($G74)*60+SECOND($G74))</f>
        <v>0</v>
      </c>
    </row>
    <row r="75" customFormat="false" ht="12" hidden="false" customHeight="false" outlineLevel="0" collapsed="false"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35" t="n">
        <f aca="false">M75*C75</f>
        <v>0</v>
      </c>
      <c r="S75" s="35" t="n">
        <f aca="false">M75*(MINUTE(G75)*60+SECOND(G75))</f>
        <v>0</v>
      </c>
      <c r="T75" s="35" t="n">
        <f aca="false">N75*$C75</f>
        <v>0</v>
      </c>
      <c r="U75" s="35" t="n">
        <f aca="false">N75*(MINUTE($G75)*60+SECOND($G75))</f>
        <v>0</v>
      </c>
      <c r="V75" s="35" t="n">
        <f aca="false">O75*$C75</f>
        <v>0</v>
      </c>
      <c r="W75" s="35" t="n">
        <f aca="false">O75*(MINUTE($G75)*60+SECOND($G75))</f>
        <v>0</v>
      </c>
      <c r="X75" s="35" t="n">
        <f aca="false">P75*$C75</f>
        <v>0</v>
      </c>
      <c r="Y75" s="35" t="n">
        <f aca="false">P75*(MINUTE($G75)*60+SECOND($G75))</f>
        <v>0</v>
      </c>
      <c r="Z75" s="35" t="n">
        <f aca="false">Q75*$C75</f>
        <v>0</v>
      </c>
      <c r="AA75" s="35" t="n">
        <f aca="false">Q75*(MINUTE($G75)*60+SECOND($G75))</f>
        <v>0</v>
      </c>
    </row>
    <row r="76" customFormat="false" ht="12" hidden="false" customHeight="false" outlineLevel="0" collapsed="false">
      <c r="A76" s="0" t="s">
        <v>165</v>
      </c>
      <c r="B76" s="0" t="s">
        <v>210</v>
      </c>
      <c r="C76" s="0" t="n">
        <v>309</v>
      </c>
      <c r="D76" s="0" t="n">
        <v>155.7</v>
      </c>
      <c r="E76" s="0" t="n">
        <v>19.6</v>
      </c>
      <c r="F76" s="0" t="n">
        <v>2.3</v>
      </c>
      <c r="G76" s="88" t="n">
        <v>0.0207986111111111</v>
      </c>
      <c r="H76" s="88" t="n">
        <v>0.0195023148148148</v>
      </c>
      <c r="I76" s="88" t="n">
        <v>0.0196990740740741</v>
      </c>
      <c r="J76" s="0" t="n">
        <v>0.5</v>
      </c>
      <c r="K76" s="0" t="s">
        <v>211</v>
      </c>
      <c r="L76" s="0" t="n">
        <v>722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35" t="n">
        <f aca="false">M76*C76</f>
        <v>0</v>
      </c>
      <c r="S76" s="35" t="n">
        <f aca="false">M76*(MINUTE(G76)*60+SECOND(G76))</f>
        <v>0</v>
      </c>
      <c r="T76" s="35" t="n">
        <f aca="false">N76*$C76</f>
        <v>0</v>
      </c>
      <c r="U76" s="35" t="n">
        <f aca="false">N76*(MINUTE($G76)*60+SECOND($G76))</f>
        <v>0</v>
      </c>
      <c r="V76" s="35" t="n">
        <f aca="false">O76*$C76</f>
        <v>309</v>
      </c>
      <c r="W76" s="35" t="n">
        <f aca="false">O76*(MINUTE($G76)*60+SECOND($G76))</f>
        <v>1797</v>
      </c>
      <c r="X76" s="35" t="n">
        <f aca="false">P76*$C76</f>
        <v>0</v>
      </c>
      <c r="Y76" s="35" t="n">
        <f aca="false">P76*(MINUTE($G76)*60+SECOND($G76))</f>
        <v>0</v>
      </c>
      <c r="Z76" s="35" t="n">
        <f aca="false">Q76*$C76</f>
        <v>0</v>
      </c>
      <c r="AA76" s="35" t="n">
        <f aca="false">Q76*(MINUTE($G76)*60+SECOND($G76))</f>
        <v>0</v>
      </c>
    </row>
    <row r="77" customFormat="false" ht="12" hidden="false" customHeight="false" outlineLevel="0" collapsed="false">
      <c r="A77" s="0" t="s">
        <v>168</v>
      </c>
      <c r="B77" s="0" t="s">
        <v>204</v>
      </c>
      <c r="C77" s="0" t="n">
        <v>309</v>
      </c>
      <c r="E77" s="0" t="n">
        <v>19.6</v>
      </c>
      <c r="F77" s="0" t="n">
        <v>2.3</v>
      </c>
      <c r="G77" s="88" t="n">
        <v>0.0207986111111111</v>
      </c>
      <c r="H77" s="88" t="n">
        <v>0.0195023148148148</v>
      </c>
      <c r="I77" s="88" t="n">
        <v>0.0196990740740741</v>
      </c>
      <c r="J77" s="0" t="n">
        <v>0.5</v>
      </c>
      <c r="K77" s="0" t="s">
        <v>211</v>
      </c>
      <c r="L77" s="0" t="n">
        <v>722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35" t="n">
        <f aca="false">M77*C77</f>
        <v>0</v>
      </c>
      <c r="S77" s="35" t="n">
        <f aca="false">M77*(MINUTE(G77)*60+SECOND(G77))</f>
        <v>0</v>
      </c>
      <c r="T77" s="35" t="n">
        <f aca="false">N77*$C77</f>
        <v>0</v>
      </c>
      <c r="U77" s="35" t="n">
        <f aca="false">N77*(MINUTE($G77)*60+SECOND($G77))</f>
        <v>0</v>
      </c>
      <c r="V77" s="35" t="n">
        <f aca="false">O77*$C77</f>
        <v>0</v>
      </c>
      <c r="W77" s="35" t="n">
        <f aca="false">O77*(MINUTE($G77)*60+SECOND($G77))</f>
        <v>0</v>
      </c>
      <c r="X77" s="35" t="n">
        <f aca="false">P77*$C77</f>
        <v>0</v>
      </c>
      <c r="Y77" s="35" t="n">
        <f aca="false">P77*(MINUTE($G77)*60+SECOND($G77))</f>
        <v>0</v>
      </c>
      <c r="Z77" s="35" t="n">
        <f aca="false">Q77*$C77</f>
        <v>0</v>
      </c>
      <c r="AA77" s="35" t="n">
        <f aca="false">Q77*(MINUTE($G77)*60+SECOND($G77))</f>
        <v>0</v>
      </c>
    </row>
    <row r="78" customFormat="false" ht="12" hidden="false" customHeight="false" outlineLevel="0" collapsed="false"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35" t="n">
        <f aca="false">M78*C78</f>
        <v>0</v>
      </c>
      <c r="S78" s="35" t="n">
        <f aca="false">M78*(MINUTE(G78)*60+SECOND(G78))</f>
        <v>0</v>
      </c>
      <c r="T78" s="35" t="n">
        <f aca="false">N78*$C78</f>
        <v>0</v>
      </c>
      <c r="U78" s="35" t="n">
        <f aca="false">N78*(MINUTE($G78)*60+SECOND($G78))</f>
        <v>0</v>
      </c>
      <c r="V78" s="35" t="n">
        <f aca="false">O78*$C78</f>
        <v>0</v>
      </c>
      <c r="W78" s="35" t="n">
        <f aca="false">O78*(MINUTE($G78)*60+SECOND($G78))</f>
        <v>0</v>
      </c>
      <c r="X78" s="35" t="n">
        <f aca="false">P78*$C78</f>
        <v>0</v>
      </c>
      <c r="Y78" s="35" t="n">
        <f aca="false">P78*(MINUTE($G78)*60+SECOND($G78))</f>
        <v>0</v>
      </c>
      <c r="Z78" s="35" t="n">
        <f aca="false">Q78*$C78</f>
        <v>0</v>
      </c>
      <c r="AA78" s="35" t="n">
        <f aca="false">Q78*(MINUTE($G78)*60+SECOND($G78))</f>
        <v>0</v>
      </c>
    </row>
    <row r="79" customFormat="false" ht="12" hidden="false" customHeight="false" outlineLevel="0" collapsed="false"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35" t="n">
        <f aca="false">M79*C79</f>
        <v>0</v>
      </c>
      <c r="S79" s="35" t="n">
        <f aca="false">M79*(MINUTE(G79)*60+SECOND(G79))</f>
        <v>0</v>
      </c>
      <c r="T79" s="35" t="n">
        <f aca="false">N79*$C79</f>
        <v>0</v>
      </c>
      <c r="U79" s="35" t="n">
        <f aca="false">N79*(MINUTE($G79)*60+SECOND($G79))</f>
        <v>0</v>
      </c>
      <c r="V79" s="35" t="n">
        <f aca="false">O79*$C79</f>
        <v>0</v>
      </c>
      <c r="W79" s="35" t="n">
        <f aca="false">O79*(MINUTE($G79)*60+SECOND($G79))</f>
        <v>0</v>
      </c>
      <c r="X79" s="35" t="n">
        <f aca="false">P79*$C79</f>
        <v>0</v>
      </c>
      <c r="Y79" s="35" t="n">
        <f aca="false">P79*(MINUTE($G79)*60+SECOND($G79))</f>
        <v>0</v>
      </c>
      <c r="Z79" s="35" t="n">
        <f aca="false">Q79*$C79</f>
        <v>0</v>
      </c>
      <c r="AA79" s="35" t="n">
        <f aca="false">Q79*(MINUTE($G79)*60+SECOND($G79))</f>
        <v>0</v>
      </c>
    </row>
    <row r="80" customFormat="false" ht="12" hidden="false" customHeight="false" outlineLevel="0" collapsed="false">
      <c r="A80" s="0" t="s">
        <v>165</v>
      </c>
      <c r="B80" s="0" t="s">
        <v>212</v>
      </c>
      <c r="C80" s="0" t="n">
        <v>593</v>
      </c>
      <c r="D80" s="0" t="n">
        <v>15</v>
      </c>
      <c r="E80" s="0" t="n">
        <v>35.5</v>
      </c>
      <c r="F80" s="0" t="n">
        <v>35.2</v>
      </c>
      <c r="G80" s="88" t="n">
        <v>0.00137731481481481</v>
      </c>
      <c r="H80" s="88" t="n">
        <v>8.10185185185185E-005</v>
      </c>
      <c r="I80" s="88" t="n">
        <v>5.78703703703704E-005</v>
      </c>
      <c r="J80" s="0" t="n">
        <v>0.2</v>
      </c>
      <c r="K80" s="0" t="s">
        <v>213</v>
      </c>
      <c r="L80" s="0" t="n">
        <v>1382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35" t="n">
        <f aca="false">M80*C80</f>
        <v>0</v>
      </c>
      <c r="S80" s="35" t="n">
        <f aca="false">M80*(MINUTE(G80)*60+SECOND(G80))</f>
        <v>0</v>
      </c>
      <c r="T80" s="35" t="n">
        <f aca="false">N80*$C80</f>
        <v>0</v>
      </c>
      <c r="U80" s="35" t="n">
        <f aca="false">N80*(MINUTE($G80)*60+SECOND($G80))</f>
        <v>0</v>
      </c>
      <c r="V80" s="35" t="n">
        <f aca="false">O80*$C80</f>
        <v>0</v>
      </c>
      <c r="W80" s="35" t="n">
        <f aca="false">O80*(MINUTE($G80)*60+SECOND($G80))</f>
        <v>0</v>
      </c>
      <c r="X80" s="35" t="n">
        <f aca="false">P80*$C80</f>
        <v>0</v>
      </c>
      <c r="Y80" s="35" t="n">
        <f aca="false">P80*(MINUTE($G80)*60+SECOND($G80))</f>
        <v>0</v>
      </c>
      <c r="Z80" s="35" t="n">
        <f aca="false">Q80*$C80</f>
        <v>593</v>
      </c>
      <c r="AA80" s="35" t="n">
        <f aca="false">Q80*(MINUTE($G80)*60+SECOND($G80))</f>
        <v>119</v>
      </c>
    </row>
    <row r="81" customFormat="false" ht="12" hidden="false" customHeight="false" outlineLevel="0" collapsed="false">
      <c r="A81" s="0" t="s">
        <v>168</v>
      </c>
      <c r="B81" s="0" t="s">
        <v>198</v>
      </c>
      <c r="C81" s="0" t="n">
        <v>593</v>
      </c>
      <c r="E81" s="0" t="n">
        <v>35.5</v>
      </c>
      <c r="F81" s="0" t="n">
        <v>35.2</v>
      </c>
      <c r="G81" s="88" t="n">
        <v>0.00137731481481481</v>
      </c>
      <c r="H81" s="88" t="n">
        <v>8.10185185185185E-005</v>
      </c>
      <c r="I81" s="88" t="n">
        <v>5.78703703703704E-005</v>
      </c>
      <c r="J81" s="0" t="n">
        <v>0.2</v>
      </c>
      <c r="K81" s="0" t="s">
        <v>213</v>
      </c>
      <c r="L81" s="0" t="n">
        <v>1382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35" t="n">
        <f aca="false">M81*C81</f>
        <v>0</v>
      </c>
      <c r="S81" s="35" t="n">
        <f aca="false">M81*(MINUTE(G81)*60+SECOND(G81))</f>
        <v>0</v>
      </c>
      <c r="T81" s="35" t="n">
        <f aca="false">N81*$C81</f>
        <v>0</v>
      </c>
      <c r="U81" s="35" t="n">
        <f aca="false">N81*(MINUTE($G81)*60+SECOND($G81))</f>
        <v>0</v>
      </c>
      <c r="V81" s="35" t="n">
        <f aca="false">O81*$C81</f>
        <v>0</v>
      </c>
      <c r="W81" s="35" t="n">
        <f aca="false">O81*(MINUTE($G81)*60+SECOND($G81))</f>
        <v>0</v>
      </c>
      <c r="X81" s="35" t="n">
        <f aca="false">P81*$C81</f>
        <v>0</v>
      </c>
      <c r="Y81" s="35" t="n">
        <f aca="false">P81*(MINUTE($G81)*60+SECOND($G81))</f>
        <v>0</v>
      </c>
      <c r="Z81" s="35" t="n">
        <f aca="false">Q81*$C81</f>
        <v>0</v>
      </c>
      <c r="AA81" s="35" t="n">
        <f aca="false">Q81*(MINUTE($G81)*60+SECOND($G81))</f>
        <v>0</v>
      </c>
    </row>
    <row r="82" customFormat="false" ht="12" hidden="false" customHeight="false" outlineLevel="0" collapsed="false"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35" t="n">
        <f aca="false">M82*C82</f>
        <v>0</v>
      </c>
      <c r="S82" s="35" t="n">
        <f aca="false">M82*(MINUTE(G82)*60+SECOND(G82))</f>
        <v>0</v>
      </c>
      <c r="T82" s="35" t="n">
        <f aca="false">N82*$C82</f>
        <v>0</v>
      </c>
      <c r="U82" s="35" t="n">
        <f aca="false">N82*(MINUTE($G82)*60+SECOND($G82))</f>
        <v>0</v>
      </c>
      <c r="V82" s="35" t="n">
        <f aca="false">O82*$C82</f>
        <v>0</v>
      </c>
      <c r="W82" s="35" t="n">
        <f aca="false">O82*(MINUTE($G82)*60+SECOND($G82))</f>
        <v>0</v>
      </c>
      <c r="X82" s="35" t="n">
        <f aca="false">P82*$C82</f>
        <v>0</v>
      </c>
      <c r="Y82" s="35" t="n">
        <f aca="false">P82*(MINUTE($G82)*60+SECOND($G82))</f>
        <v>0</v>
      </c>
      <c r="Z82" s="35" t="n">
        <f aca="false">Q82*$C82</f>
        <v>0</v>
      </c>
      <c r="AA82" s="35" t="n">
        <f aca="false">Q82*(MINUTE($G82)*60+SECOND($G82))</f>
        <v>0</v>
      </c>
    </row>
    <row r="83" customFormat="false" ht="12" hidden="false" customHeight="false" outlineLevel="0" collapsed="false"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35" t="n">
        <f aca="false">M83*C83</f>
        <v>0</v>
      </c>
      <c r="S83" s="35" t="n">
        <f aca="false">M83*(MINUTE(G83)*60+SECOND(G83))</f>
        <v>0</v>
      </c>
      <c r="T83" s="35" t="n">
        <f aca="false">N83*$C83</f>
        <v>0</v>
      </c>
      <c r="U83" s="35" t="n">
        <f aca="false">N83*(MINUTE($G83)*60+SECOND($G83))</f>
        <v>0</v>
      </c>
      <c r="V83" s="35" t="n">
        <f aca="false">O83*$C83</f>
        <v>0</v>
      </c>
      <c r="W83" s="35" t="n">
        <f aca="false">O83*(MINUTE($G83)*60+SECOND($G83))</f>
        <v>0</v>
      </c>
      <c r="X83" s="35" t="n">
        <f aca="false">P83*$C83</f>
        <v>0</v>
      </c>
      <c r="Y83" s="35" t="n">
        <f aca="false">P83*(MINUTE($G83)*60+SECOND($G83))</f>
        <v>0</v>
      </c>
      <c r="Z83" s="35" t="n">
        <f aca="false">Q83*$C83</f>
        <v>0</v>
      </c>
      <c r="AA83" s="35" t="n">
        <f aca="false">Q83*(MINUTE($G83)*60+SECOND($G83))</f>
        <v>0</v>
      </c>
    </row>
    <row r="84" customFormat="false" ht="12" hidden="false" customHeight="false" outlineLevel="0" collapsed="false">
      <c r="A84" s="0" t="s">
        <v>165</v>
      </c>
      <c r="B84" s="0" t="s">
        <v>214</v>
      </c>
      <c r="C84" s="0" t="n">
        <v>2452</v>
      </c>
      <c r="D84" s="0" t="n">
        <v>63.6</v>
      </c>
      <c r="E84" s="0" t="n">
        <v>24.5</v>
      </c>
      <c r="F84" s="0" t="n">
        <v>13.8</v>
      </c>
      <c r="G84" s="88" t="n">
        <v>0.000358796296296296</v>
      </c>
      <c r="H84" s="88" t="n">
        <v>0.000266203703703704</v>
      </c>
      <c r="I84" s="88" t="n">
        <v>0.000138888888888889</v>
      </c>
      <c r="J84" s="0" t="n">
        <v>2.4</v>
      </c>
      <c r="K84" s="0" t="s">
        <v>215</v>
      </c>
      <c r="L84" s="0" t="n">
        <v>598.9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1</v>
      </c>
      <c r="R84" s="35" t="n">
        <f aca="false">M84*C84</f>
        <v>0</v>
      </c>
      <c r="S84" s="35" t="n">
        <f aca="false">M84*(MINUTE(G84)*60+SECOND(G84))</f>
        <v>0</v>
      </c>
      <c r="T84" s="35" t="n">
        <f aca="false">N84*$C84</f>
        <v>0</v>
      </c>
      <c r="U84" s="35" t="n">
        <f aca="false">N84*(MINUTE($G84)*60+SECOND($G84))</f>
        <v>0</v>
      </c>
      <c r="V84" s="35" t="n">
        <f aca="false">O84*$C84</f>
        <v>0</v>
      </c>
      <c r="W84" s="35" t="n">
        <f aca="false">O84*(MINUTE($G84)*60+SECOND($G84))</f>
        <v>0</v>
      </c>
      <c r="X84" s="35" t="n">
        <f aca="false">P84*$C84</f>
        <v>2452</v>
      </c>
      <c r="Y84" s="35" t="n">
        <f aca="false">P84*(MINUTE($G84)*60+SECOND($G84))</f>
        <v>31</v>
      </c>
      <c r="Z84" s="35" t="n">
        <f aca="false">Q84*$C84</f>
        <v>2452</v>
      </c>
      <c r="AA84" s="35" t="n">
        <f aca="false">Q84*(MINUTE($G84)*60+SECOND($G84))</f>
        <v>31</v>
      </c>
    </row>
    <row r="85" customFormat="false" ht="12" hidden="false" customHeight="false" outlineLevel="0" collapsed="false">
      <c r="A85" s="0" t="s">
        <v>168</v>
      </c>
      <c r="B85" s="0" t="s">
        <v>216</v>
      </c>
      <c r="C85" s="0" t="n">
        <v>2452</v>
      </c>
      <c r="E85" s="0" t="n">
        <v>24.5</v>
      </c>
      <c r="F85" s="0" t="n">
        <v>13.8</v>
      </c>
      <c r="G85" s="88" t="n">
        <v>0.000358796296296296</v>
      </c>
      <c r="H85" s="88" t="n">
        <v>0.000266203703703704</v>
      </c>
      <c r="I85" s="88" t="n">
        <v>0.000138888888888889</v>
      </c>
      <c r="J85" s="0" t="n">
        <v>2.4</v>
      </c>
      <c r="K85" s="0" t="s">
        <v>217</v>
      </c>
      <c r="L85" s="0" t="n">
        <v>598.9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35" t="n">
        <f aca="false">M85*C85</f>
        <v>0</v>
      </c>
      <c r="S85" s="35" t="n">
        <f aca="false">M85*(MINUTE(G85)*60+SECOND(G85))</f>
        <v>0</v>
      </c>
      <c r="T85" s="35" t="n">
        <f aca="false">N85*$C85</f>
        <v>0</v>
      </c>
      <c r="U85" s="35" t="n">
        <f aca="false">N85*(MINUTE($G85)*60+SECOND($G85))</f>
        <v>0</v>
      </c>
      <c r="V85" s="35" t="n">
        <f aca="false">O85*$C85</f>
        <v>0</v>
      </c>
      <c r="W85" s="35" t="n">
        <f aca="false">O85*(MINUTE($G85)*60+SECOND($G85))</f>
        <v>0</v>
      </c>
      <c r="X85" s="35" t="n">
        <f aca="false">P85*$C85</f>
        <v>0</v>
      </c>
      <c r="Y85" s="35" t="n">
        <f aca="false">P85*(MINUTE($G85)*60+SECOND($G85))</f>
        <v>0</v>
      </c>
      <c r="Z85" s="35" t="n">
        <f aca="false">Q85*$C85</f>
        <v>0</v>
      </c>
      <c r="AA85" s="35" t="n">
        <f aca="false">Q85*(MINUTE($G85)*60+SECOND($G85))</f>
        <v>0</v>
      </c>
    </row>
    <row r="86" customFormat="false" ht="12" hidden="false" customHeight="false" outlineLevel="0" collapsed="false"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35" t="n">
        <f aca="false">M86*C86</f>
        <v>0</v>
      </c>
      <c r="S86" s="35" t="n">
        <f aca="false">M86*(MINUTE(G86)*60+SECOND(G86))</f>
        <v>0</v>
      </c>
      <c r="T86" s="35" t="n">
        <f aca="false">N86*$C86</f>
        <v>0</v>
      </c>
      <c r="U86" s="35" t="n">
        <f aca="false">N86*(MINUTE($G86)*60+SECOND($G86))</f>
        <v>0</v>
      </c>
      <c r="V86" s="35" t="n">
        <f aca="false">O86*$C86</f>
        <v>0</v>
      </c>
      <c r="W86" s="35" t="n">
        <f aca="false">O86*(MINUTE($G86)*60+SECOND($G86))</f>
        <v>0</v>
      </c>
      <c r="X86" s="35" t="n">
        <f aca="false">P86*$C86</f>
        <v>0</v>
      </c>
      <c r="Y86" s="35" t="n">
        <f aca="false">P86*(MINUTE($G86)*60+SECOND($G86))</f>
        <v>0</v>
      </c>
      <c r="Z86" s="35" t="n">
        <f aca="false">Q86*$C86</f>
        <v>0</v>
      </c>
      <c r="AA86" s="35" t="n">
        <f aca="false">Q86*(MINUTE($G86)*60+SECOND($G86))</f>
        <v>0</v>
      </c>
    </row>
    <row r="87" customFormat="false" ht="12" hidden="false" customHeight="false" outlineLevel="0" collapsed="false"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35" t="n">
        <f aca="false">M87*C87</f>
        <v>0</v>
      </c>
      <c r="S87" s="35" t="n">
        <f aca="false">M87*(MINUTE(G87)*60+SECOND(G87))</f>
        <v>0</v>
      </c>
      <c r="T87" s="35" t="n">
        <f aca="false">N87*$C87</f>
        <v>0</v>
      </c>
      <c r="U87" s="35" t="n">
        <f aca="false">N87*(MINUTE($G87)*60+SECOND($G87))</f>
        <v>0</v>
      </c>
      <c r="V87" s="35" t="n">
        <f aca="false">O87*$C87</f>
        <v>0</v>
      </c>
      <c r="W87" s="35" t="n">
        <f aca="false">O87*(MINUTE($G87)*60+SECOND($G87))</f>
        <v>0</v>
      </c>
      <c r="X87" s="35" t="n">
        <f aca="false">P87*$C87</f>
        <v>0</v>
      </c>
      <c r="Y87" s="35" t="n">
        <f aca="false">P87*(MINUTE($G87)*60+SECOND($G87))</f>
        <v>0</v>
      </c>
      <c r="Z87" s="35" t="n">
        <f aca="false">Q87*$C87</f>
        <v>0</v>
      </c>
      <c r="AA87" s="35" t="n">
        <f aca="false">Q87*(MINUTE($G87)*60+SECOND($G87))</f>
        <v>0</v>
      </c>
    </row>
    <row r="88" customFormat="false" ht="12" hidden="false" customHeight="false" outlineLevel="0" collapsed="false">
      <c r="A88" s="0" t="s">
        <v>165</v>
      </c>
      <c r="B88" s="0" t="s">
        <v>218</v>
      </c>
      <c r="C88" s="0" t="n">
        <v>1459</v>
      </c>
      <c r="D88" s="0" t="n">
        <v>46.4</v>
      </c>
      <c r="E88" s="0" t="n">
        <v>22.5</v>
      </c>
      <c r="F88" s="0" t="n">
        <v>13.9</v>
      </c>
      <c r="G88" s="88" t="n">
        <v>0.000127314814814815</v>
      </c>
      <c r="H88" s="88" t="n">
        <v>9.25925925925926E-005</v>
      </c>
      <c r="I88" s="88" t="n">
        <v>3.47222222222222E-005</v>
      </c>
      <c r="J88" s="0" t="n">
        <v>1</v>
      </c>
      <c r="K88" s="0" t="s">
        <v>219</v>
      </c>
      <c r="L88" s="0" t="n">
        <v>130.2</v>
      </c>
      <c r="M88" s="0" t="n">
        <v>1</v>
      </c>
      <c r="N88" s="0" t="n">
        <v>1</v>
      </c>
      <c r="O88" s="0" t="n">
        <v>1</v>
      </c>
      <c r="P88" s="0" t="n">
        <v>0</v>
      </c>
      <c r="Q88" s="0" t="n">
        <v>0</v>
      </c>
      <c r="R88" s="35" t="n">
        <f aca="false">M88*C88</f>
        <v>1459</v>
      </c>
      <c r="S88" s="35" t="n">
        <f aca="false">M88*(MINUTE(G88)*60+SECOND(G88))</f>
        <v>11</v>
      </c>
      <c r="T88" s="35" t="n">
        <f aca="false">N88*$C88</f>
        <v>1459</v>
      </c>
      <c r="U88" s="35" t="n">
        <f aca="false">N88*(MINUTE($G88)*60+SECOND($G88))</f>
        <v>11</v>
      </c>
      <c r="V88" s="35" t="n">
        <f aca="false">O88*$C88</f>
        <v>1459</v>
      </c>
      <c r="W88" s="35" t="n">
        <f aca="false">O88*(MINUTE($G88)*60+SECOND($G88))</f>
        <v>11</v>
      </c>
      <c r="X88" s="35" t="n">
        <f aca="false">P88*$C88</f>
        <v>0</v>
      </c>
      <c r="Y88" s="35" t="n">
        <f aca="false">P88*(MINUTE($G88)*60+SECOND($G88))</f>
        <v>0</v>
      </c>
      <c r="Z88" s="35" t="n">
        <f aca="false">Q88*$C88</f>
        <v>0</v>
      </c>
      <c r="AA88" s="35" t="n">
        <f aca="false">Q88*(MINUTE($G88)*60+SECOND($G88))</f>
        <v>0</v>
      </c>
    </row>
    <row r="89" customFormat="false" ht="12" hidden="false" customHeight="false" outlineLevel="0" collapsed="false">
      <c r="A89" s="0" t="s">
        <v>168</v>
      </c>
      <c r="B89" s="0" t="s">
        <v>220</v>
      </c>
      <c r="C89" s="0" t="n">
        <v>1459</v>
      </c>
      <c r="E89" s="0" t="n">
        <v>22.5</v>
      </c>
      <c r="F89" s="0" t="n">
        <v>13.9</v>
      </c>
      <c r="G89" s="88" t="n">
        <v>0.000127314814814815</v>
      </c>
      <c r="H89" s="88" t="n">
        <v>9.25925925925926E-005</v>
      </c>
      <c r="I89" s="88" t="n">
        <v>3.47222222222222E-005</v>
      </c>
      <c r="J89" s="0" t="n">
        <v>1</v>
      </c>
      <c r="K89" s="0" t="s">
        <v>219</v>
      </c>
      <c r="L89" s="0" t="n">
        <v>130.2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35" t="n">
        <f aca="false">M89*C89</f>
        <v>0</v>
      </c>
      <c r="S89" s="35" t="n">
        <f aca="false">M89*(MINUTE(G89)*60+SECOND(G89))</f>
        <v>0</v>
      </c>
      <c r="T89" s="35" t="n">
        <f aca="false">N89*$C89</f>
        <v>0</v>
      </c>
      <c r="U89" s="35" t="n">
        <f aca="false">N89*(MINUTE($G89)*60+SECOND($G89))</f>
        <v>0</v>
      </c>
      <c r="V89" s="35" t="n">
        <f aca="false">O89*$C89</f>
        <v>0</v>
      </c>
      <c r="W89" s="35" t="n">
        <f aca="false">O89*(MINUTE($G89)*60+SECOND($G89))</f>
        <v>0</v>
      </c>
      <c r="X89" s="35" t="n">
        <f aca="false">P89*$C89</f>
        <v>0</v>
      </c>
      <c r="Y89" s="35" t="n">
        <f aca="false">P89*(MINUTE($G89)*60+SECOND($G89))</f>
        <v>0</v>
      </c>
      <c r="Z89" s="35" t="n">
        <f aca="false">Q89*$C89</f>
        <v>0</v>
      </c>
      <c r="AA89" s="35" t="n">
        <f aca="false">Q89*(MINUTE($G89)*60+SECOND($G89))</f>
        <v>0</v>
      </c>
    </row>
    <row r="90" customFormat="false" ht="12" hidden="false" customHeight="false" outlineLevel="0" collapsed="false"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35" t="n">
        <f aca="false">M90*C90</f>
        <v>0</v>
      </c>
      <c r="S90" s="35" t="n">
        <f aca="false">M90*(MINUTE(G90)*60+SECOND(G90))</f>
        <v>0</v>
      </c>
      <c r="T90" s="35" t="n">
        <f aca="false">N90*$C90</f>
        <v>0</v>
      </c>
      <c r="U90" s="35" t="n">
        <f aca="false">N90*(MINUTE($G90)*60+SECOND($G90))</f>
        <v>0</v>
      </c>
      <c r="V90" s="35" t="n">
        <f aca="false">O90*$C90</f>
        <v>0</v>
      </c>
      <c r="W90" s="35" t="n">
        <f aca="false">O90*(MINUTE($G90)*60+SECOND($G90))</f>
        <v>0</v>
      </c>
      <c r="X90" s="35" t="n">
        <f aca="false">P90*$C90</f>
        <v>0</v>
      </c>
      <c r="Y90" s="35" t="n">
        <f aca="false">P90*(MINUTE($G90)*60+SECOND($G90))</f>
        <v>0</v>
      </c>
      <c r="Z90" s="35" t="n">
        <f aca="false">Q90*$C90</f>
        <v>0</v>
      </c>
      <c r="AA90" s="35" t="n">
        <f aca="false">Q90*(MINUTE($G90)*60+SECOND($G90))</f>
        <v>0</v>
      </c>
    </row>
    <row r="91" customFormat="false" ht="12" hidden="false" customHeight="false" outlineLevel="0" collapsed="false"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35" t="n">
        <f aca="false">M91*C91</f>
        <v>0</v>
      </c>
      <c r="S91" s="35" t="n">
        <f aca="false">M91*(MINUTE(G91)*60+SECOND(G91))</f>
        <v>0</v>
      </c>
      <c r="T91" s="35" t="n">
        <f aca="false">N91*$C91</f>
        <v>0</v>
      </c>
      <c r="U91" s="35" t="n">
        <f aca="false">N91*(MINUTE($G91)*60+SECOND($G91))</f>
        <v>0</v>
      </c>
      <c r="V91" s="35" t="n">
        <f aca="false">O91*$C91</f>
        <v>0</v>
      </c>
      <c r="W91" s="35" t="n">
        <f aca="false">O91*(MINUTE($G91)*60+SECOND($G91))</f>
        <v>0</v>
      </c>
      <c r="X91" s="35" t="n">
        <f aca="false">P91*$C91</f>
        <v>0</v>
      </c>
      <c r="Y91" s="35" t="n">
        <f aca="false">P91*(MINUTE($G91)*60+SECOND($G91))</f>
        <v>0</v>
      </c>
      <c r="Z91" s="35" t="n">
        <f aca="false">Q91*$C91</f>
        <v>0</v>
      </c>
      <c r="AA91" s="35" t="n">
        <f aca="false">Q91*(MINUTE($G91)*60+SECOND($G91))</f>
        <v>0</v>
      </c>
    </row>
    <row r="92" customFormat="false" ht="12" hidden="false" customHeight="false" outlineLevel="0" collapsed="false">
      <c r="A92" s="0" t="s">
        <v>165</v>
      </c>
      <c r="B92" s="0" t="s">
        <v>221</v>
      </c>
      <c r="C92" s="0" t="n">
        <v>2453</v>
      </c>
      <c r="D92" s="0" t="n">
        <v>61.9</v>
      </c>
      <c r="E92" s="0" t="n">
        <v>33.2</v>
      </c>
      <c r="F92" s="0" t="n">
        <v>17.5</v>
      </c>
      <c r="G92" s="88" t="n">
        <v>9.25925925925926E-005</v>
      </c>
      <c r="H92" s="88" t="n">
        <v>5.78703703703704E-005</v>
      </c>
      <c r="I92" s="88" t="n">
        <v>3.47222222222222E-005</v>
      </c>
      <c r="J92" s="0" t="n">
        <v>0.6</v>
      </c>
      <c r="K92" s="0" t="s">
        <v>222</v>
      </c>
      <c r="L92" s="0" t="n">
        <v>212.4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1</v>
      </c>
      <c r="R92" s="35" t="n">
        <f aca="false">M92*C92</f>
        <v>0</v>
      </c>
      <c r="S92" s="35" t="n">
        <f aca="false">M92*(MINUTE(G92)*60+SECOND(G92))</f>
        <v>0</v>
      </c>
      <c r="T92" s="35" t="n">
        <f aca="false">N92*$C92</f>
        <v>0</v>
      </c>
      <c r="U92" s="35" t="n">
        <f aca="false">N92*(MINUTE($G92)*60+SECOND($G92))</f>
        <v>0</v>
      </c>
      <c r="V92" s="35" t="n">
        <f aca="false">O92*$C92</f>
        <v>0</v>
      </c>
      <c r="W92" s="35" t="n">
        <f aca="false">O92*(MINUTE($G92)*60+SECOND($G92))</f>
        <v>0</v>
      </c>
      <c r="X92" s="35" t="n">
        <f aca="false">P92*$C92</f>
        <v>2453</v>
      </c>
      <c r="Y92" s="35" t="n">
        <f aca="false">P92*(MINUTE($G92)*60+SECOND($G92))</f>
        <v>8</v>
      </c>
      <c r="Z92" s="35" t="n">
        <f aca="false">Q92*$C92</f>
        <v>2453</v>
      </c>
      <c r="AA92" s="35" t="n">
        <f aca="false">Q92*(MINUTE($G92)*60+SECOND($G92))</f>
        <v>8</v>
      </c>
    </row>
    <row r="93" customFormat="false" ht="12" hidden="false" customHeight="false" outlineLevel="0" collapsed="false">
      <c r="A93" s="0" t="s">
        <v>168</v>
      </c>
      <c r="B93" s="0" t="s">
        <v>223</v>
      </c>
      <c r="C93" s="0" t="n">
        <v>2453</v>
      </c>
      <c r="E93" s="0" t="n">
        <v>33.2</v>
      </c>
      <c r="F93" s="0" t="n">
        <v>17.5</v>
      </c>
      <c r="G93" s="88" t="n">
        <v>9.25925925925926E-005</v>
      </c>
      <c r="H93" s="88" t="n">
        <v>5.78703703703704E-005</v>
      </c>
      <c r="I93" s="88" t="n">
        <v>3.47222222222222E-005</v>
      </c>
      <c r="J93" s="0" t="n">
        <v>0.6</v>
      </c>
      <c r="K93" s="0" t="s">
        <v>222</v>
      </c>
      <c r="L93" s="0" t="n">
        <v>212.4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35" t="n">
        <f aca="false">M93*C93</f>
        <v>0</v>
      </c>
      <c r="S93" s="35" t="n">
        <f aca="false">M93*(MINUTE(G93)*60+SECOND(G93))</f>
        <v>0</v>
      </c>
      <c r="T93" s="35" t="n">
        <f aca="false">N93*$C93</f>
        <v>0</v>
      </c>
      <c r="U93" s="35" t="n">
        <f aca="false">N93*(MINUTE($G93)*60+SECOND($G93))</f>
        <v>0</v>
      </c>
      <c r="V93" s="35" t="n">
        <f aca="false">O93*$C93</f>
        <v>0</v>
      </c>
      <c r="W93" s="35" t="n">
        <f aca="false">O93*(MINUTE($G93)*60+SECOND($G93))</f>
        <v>0</v>
      </c>
      <c r="X93" s="35" t="n">
        <f aca="false">P93*$C93</f>
        <v>0</v>
      </c>
      <c r="Y93" s="35" t="n">
        <f aca="false">P93*(MINUTE($G93)*60+SECOND($G93))</f>
        <v>0</v>
      </c>
      <c r="Z93" s="35" t="n">
        <f aca="false">Q93*$C93</f>
        <v>0</v>
      </c>
      <c r="AA93" s="35" t="n">
        <f aca="false">Q93*(MINUTE($G93)*60+SECOND($G93))</f>
        <v>0</v>
      </c>
    </row>
    <row r="94" customFormat="false" ht="12" hidden="false" customHeight="false" outlineLevel="0" collapsed="false"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35" t="n">
        <f aca="false">M94*C94</f>
        <v>0</v>
      </c>
      <c r="S94" s="35" t="n">
        <f aca="false">M94*(MINUTE(G94)*60+SECOND(G94))</f>
        <v>0</v>
      </c>
      <c r="T94" s="35" t="n">
        <f aca="false">N94*$C94</f>
        <v>0</v>
      </c>
      <c r="U94" s="35" t="n">
        <f aca="false">N94*(MINUTE($G94)*60+SECOND($G94))</f>
        <v>0</v>
      </c>
      <c r="V94" s="35" t="n">
        <f aca="false">O94*$C94</f>
        <v>0</v>
      </c>
      <c r="W94" s="35" t="n">
        <f aca="false">O94*(MINUTE($G94)*60+SECOND($G94))</f>
        <v>0</v>
      </c>
      <c r="X94" s="35" t="n">
        <f aca="false">P94*$C94</f>
        <v>0</v>
      </c>
      <c r="Y94" s="35" t="n">
        <f aca="false">P94*(MINUTE($G94)*60+SECOND($G94))</f>
        <v>0</v>
      </c>
      <c r="Z94" s="35" t="n">
        <f aca="false">Q94*$C94</f>
        <v>0</v>
      </c>
      <c r="AA94" s="35" t="n">
        <f aca="false">Q94*(MINUTE($G94)*60+SECOND($G94))</f>
        <v>0</v>
      </c>
    </row>
    <row r="95" customFormat="false" ht="12" hidden="false" customHeight="false" outlineLevel="0" collapsed="false"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35" t="n">
        <f aca="false">M95*C95</f>
        <v>0</v>
      </c>
      <c r="S95" s="35" t="n">
        <f aca="false">M95*(MINUTE(G95)*60+SECOND(G95))</f>
        <v>0</v>
      </c>
      <c r="T95" s="35" t="n">
        <f aca="false">N95*$C95</f>
        <v>0</v>
      </c>
      <c r="U95" s="35" t="n">
        <f aca="false">N95*(MINUTE($G95)*60+SECOND($G95))</f>
        <v>0</v>
      </c>
      <c r="V95" s="35" t="n">
        <f aca="false">O95*$C95</f>
        <v>0</v>
      </c>
      <c r="W95" s="35" t="n">
        <f aca="false">O95*(MINUTE($G95)*60+SECOND($G95))</f>
        <v>0</v>
      </c>
      <c r="X95" s="35" t="n">
        <f aca="false">P95*$C95</f>
        <v>0</v>
      </c>
      <c r="Y95" s="35" t="n">
        <f aca="false">P95*(MINUTE($G95)*60+SECOND($G95))</f>
        <v>0</v>
      </c>
      <c r="Z95" s="35" t="n">
        <f aca="false">Q95*$C95</f>
        <v>0</v>
      </c>
      <c r="AA95" s="35" t="n">
        <f aca="false">Q95*(MINUTE($G95)*60+SECOND($G95))</f>
        <v>0</v>
      </c>
    </row>
    <row r="96" customFormat="false" ht="12" hidden="false" customHeight="false" outlineLevel="0" collapsed="false">
      <c r="A96" s="0" t="s">
        <v>165</v>
      </c>
      <c r="B96" s="0" t="s">
        <v>224</v>
      </c>
      <c r="C96" s="0" t="n">
        <v>1456</v>
      </c>
      <c r="D96" s="0" t="n">
        <v>48.2</v>
      </c>
      <c r="E96" s="0" t="n">
        <v>24.1</v>
      </c>
      <c r="F96" s="0" t="n">
        <v>13.4</v>
      </c>
      <c r="G96" s="88" t="n">
        <v>0.000162037037037037</v>
      </c>
      <c r="H96" s="88" t="n">
        <v>0.000115740740740741</v>
      </c>
      <c r="I96" s="88" t="n">
        <v>6.94444444444444E-005</v>
      </c>
      <c r="J96" s="0" t="n">
        <v>1.3</v>
      </c>
      <c r="K96" s="0" t="s">
        <v>225</v>
      </c>
      <c r="L96" s="0" t="n">
        <v>161.6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0</v>
      </c>
      <c r="R96" s="35" t="n">
        <f aca="false">M96*C96</f>
        <v>1456</v>
      </c>
      <c r="S96" s="35" t="n">
        <f aca="false">M96*(MINUTE(G96)*60+SECOND(G96))</f>
        <v>14</v>
      </c>
      <c r="T96" s="35" t="n">
        <f aca="false">N96*$C96</f>
        <v>1456</v>
      </c>
      <c r="U96" s="35" t="n">
        <f aca="false">N96*(MINUTE($G96)*60+SECOND($G96))</f>
        <v>14</v>
      </c>
      <c r="V96" s="35" t="n">
        <f aca="false">O96*$C96</f>
        <v>1456</v>
      </c>
      <c r="W96" s="35" t="n">
        <f aca="false">O96*(MINUTE($G96)*60+SECOND($G96))</f>
        <v>14</v>
      </c>
      <c r="X96" s="35" t="n">
        <f aca="false">P96*$C96</f>
        <v>0</v>
      </c>
      <c r="Y96" s="35" t="n">
        <f aca="false">P96*(MINUTE($G96)*60+SECOND($G96))</f>
        <v>0</v>
      </c>
      <c r="Z96" s="35" t="n">
        <f aca="false">Q96*$C96</f>
        <v>0</v>
      </c>
      <c r="AA96" s="35" t="n">
        <f aca="false">Q96*(MINUTE($G96)*60+SECOND($G96))</f>
        <v>0</v>
      </c>
    </row>
    <row r="97" customFormat="false" ht="12" hidden="false" customHeight="false" outlineLevel="0" collapsed="false">
      <c r="A97" s="0" t="s">
        <v>168</v>
      </c>
      <c r="B97" s="0" t="s">
        <v>226</v>
      </c>
      <c r="C97" s="0" t="n">
        <v>1456</v>
      </c>
      <c r="E97" s="0" t="n">
        <v>24.1</v>
      </c>
      <c r="F97" s="0" t="n">
        <v>13.4</v>
      </c>
      <c r="G97" s="88" t="n">
        <v>0.000162037037037037</v>
      </c>
      <c r="H97" s="88" t="n">
        <v>0.000115740740740741</v>
      </c>
      <c r="I97" s="88" t="n">
        <v>6.94444444444444E-005</v>
      </c>
      <c r="J97" s="0" t="n">
        <v>1.3</v>
      </c>
      <c r="K97" s="0" t="s">
        <v>225</v>
      </c>
      <c r="L97" s="0" t="n">
        <v>161.6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35" t="n">
        <f aca="false">M97*C97</f>
        <v>0</v>
      </c>
      <c r="S97" s="35" t="n">
        <f aca="false">M97*(MINUTE(G97)*60+SECOND(G97))</f>
        <v>0</v>
      </c>
      <c r="T97" s="35" t="n">
        <f aca="false">N97*$C97</f>
        <v>0</v>
      </c>
      <c r="U97" s="35" t="n">
        <f aca="false">N97*(MINUTE($G97)*60+SECOND($G97))</f>
        <v>0</v>
      </c>
      <c r="V97" s="35" t="n">
        <f aca="false">O97*$C97</f>
        <v>0</v>
      </c>
      <c r="W97" s="35" t="n">
        <f aca="false">O97*(MINUTE($G97)*60+SECOND($G97))</f>
        <v>0</v>
      </c>
      <c r="X97" s="35" t="n">
        <f aca="false">P97*$C97</f>
        <v>0</v>
      </c>
      <c r="Y97" s="35" t="n">
        <f aca="false">P97*(MINUTE($G97)*60+SECOND($G97))</f>
        <v>0</v>
      </c>
      <c r="Z97" s="35" t="n">
        <f aca="false">Q97*$C97</f>
        <v>0</v>
      </c>
      <c r="AA97" s="35" t="n">
        <f aca="false">Q97*(MINUTE($G97)*60+SECOND($G97))</f>
        <v>0</v>
      </c>
    </row>
    <row r="98" customFormat="false" ht="12" hidden="false" customHeight="false" outlineLevel="0" collapsed="false"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35" t="n">
        <f aca="false">M98*C98</f>
        <v>0</v>
      </c>
      <c r="S98" s="35" t="n">
        <f aca="false">M98*(MINUTE(G98)*60+SECOND(G98))</f>
        <v>0</v>
      </c>
      <c r="T98" s="35" t="n">
        <f aca="false">N98*$C98</f>
        <v>0</v>
      </c>
      <c r="U98" s="35" t="n">
        <f aca="false">N98*(MINUTE($G98)*60+SECOND($G98))</f>
        <v>0</v>
      </c>
      <c r="V98" s="35" t="n">
        <f aca="false">O98*$C98</f>
        <v>0</v>
      </c>
      <c r="W98" s="35" t="n">
        <f aca="false">O98*(MINUTE($G98)*60+SECOND($G98))</f>
        <v>0</v>
      </c>
      <c r="X98" s="35" t="n">
        <f aca="false">P98*$C98</f>
        <v>0</v>
      </c>
      <c r="Y98" s="35" t="n">
        <f aca="false">P98*(MINUTE($G98)*60+SECOND($G98))</f>
        <v>0</v>
      </c>
      <c r="Z98" s="35" t="n">
        <f aca="false">Q98*$C98</f>
        <v>0</v>
      </c>
      <c r="AA98" s="35" t="n">
        <f aca="false">Q98*(MINUTE($G98)*60+SECOND($G98))</f>
        <v>0</v>
      </c>
    </row>
    <row r="99" customFormat="false" ht="12" hidden="false" customHeight="false" outlineLevel="0" collapsed="false"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35" t="n">
        <f aca="false">M99*C99</f>
        <v>0</v>
      </c>
      <c r="S99" s="35" t="n">
        <f aca="false">M99*(MINUTE(G99)*60+SECOND(G99))</f>
        <v>0</v>
      </c>
      <c r="T99" s="35" t="n">
        <f aca="false">N99*$C99</f>
        <v>0</v>
      </c>
      <c r="U99" s="35" t="n">
        <f aca="false">N99*(MINUTE($G99)*60+SECOND($G99))</f>
        <v>0</v>
      </c>
      <c r="V99" s="35" t="n">
        <f aca="false">O99*$C99</f>
        <v>0</v>
      </c>
      <c r="W99" s="35" t="n">
        <f aca="false">O99*(MINUTE($G99)*60+SECOND($G99))</f>
        <v>0</v>
      </c>
      <c r="X99" s="35" t="n">
        <f aca="false">P99*$C99</f>
        <v>0</v>
      </c>
      <c r="Y99" s="35" t="n">
        <f aca="false">P99*(MINUTE($G99)*60+SECOND($G99))</f>
        <v>0</v>
      </c>
      <c r="Z99" s="35" t="n">
        <f aca="false">Q99*$C99</f>
        <v>0</v>
      </c>
      <c r="AA99" s="35" t="n">
        <f aca="false">Q99*(MINUTE($G99)*60+SECOND($G99))</f>
        <v>0</v>
      </c>
    </row>
    <row r="100" customFormat="false" ht="12" hidden="false" customHeight="false" outlineLevel="0" collapsed="false">
      <c r="A100" s="0" t="s">
        <v>165</v>
      </c>
      <c r="B100" s="0" t="s">
        <v>227</v>
      </c>
      <c r="C100" s="0" t="n">
        <v>2455</v>
      </c>
      <c r="D100" s="0" t="n">
        <v>65</v>
      </c>
      <c r="E100" s="0" t="n">
        <v>34.5</v>
      </c>
      <c r="F100" s="0" t="n">
        <v>16.7</v>
      </c>
      <c r="G100" s="88" t="n">
        <v>0.000138888888888889</v>
      </c>
      <c r="H100" s="88" t="n">
        <v>8.10185185185185E-005</v>
      </c>
      <c r="I100" s="88" t="n">
        <v>5.78703703703704E-005</v>
      </c>
      <c r="J100" s="0" t="n">
        <v>0.7</v>
      </c>
      <c r="K100" s="0" t="s">
        <v>228</v>
      </c>
      <c r="L100" s="0" t="n">
        <v>273.5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1</v>
      </c>
      <c r="R100" s="35" t="n">
        <f aca="false">M100*C100</f>
        <v>0</v>
      </c>
      <c r="S100" s="35" t="n">
        <f aca="false">M100*(MINUTE(G100)*60+SECOND(G100))</f>
        <v>0</v>
      </c>
      <c r="T100" s="35" t="n">
        <f aca="false">N100*$C100</f>
        <v>0</v>
      </c>
      <c r="U100" s="35" t="n">
        <f aca="false">N100*(MINUTE($G100)*60+SECOND($G100))</f>
        <v>0</v>
      </c>
      <c r="V100" s="35" t="n">
        <f aca="false">O100*$C100</f>
        <v>0</v>
      </c>
      <c r="W100" s="35" t="n">
        <f aca="false">O100*(MINUTE($G100)*60+SECOND($G100))</f>
        <v>0</v>
      </c>
      <c r="X100" s="35" t="n">
        <f aca="false">P100*$C100</f>
        <v>2455</v>
      </c>
      <c r="Y100" s="35" t="n">
        <f aca="false">P100*(MINUTE($G100)*60+SECOND($G100))</f>
        <v>12</v>
      </c>
      <c r="Z100" s="35" t="n">
        <f aca="false">Q100*$C100</f>
        <v>2455</v>
      </c>
      <c r="AA100" s="35" t="n">
        <f aca="false">Q100*(MINUTE($G100)*60+SECOND($G100))</f>
        <v>12</v>
      </c>
    </row>
    <row r="101" customFormat="false" ht="12" hidden="false" customHeight="false" outlineLevel="0" collapsed="false">
      <c r="A101" s="0" t="s">
        <v>168</v>
      </c>
      <c r="B101" s="0" t="s">
        <v>226</v>
      </c>
      <c r="C101" s="0" t="n">
        <v>2455</v>
      </c>
      <c r="E101" s="0" t="n">
        <v>34.5</v>
      </c>
      <c r="F101" s="0" t="n">
        <v>16.7</v>
      </c>
      <c r="G101" s="88" t="n">
        <v>0.000138888888888889</v>
      </c>
      <c r="H101" s="88" t="n">
        <v>8.10185185185185E-005</v>
      </c>
      <c r="I101" s="88" t="n">
        <v>5.78703703703704E-005</v>
      </c>
      <c r="J101" s="0" t="n">
        <v>0.7</v>
      </c>
      <c r="K101" s="0" t="s">
        <v>228</v>
      </c>
      <c r="L101" s="0" t="n">
        <v>273.5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35" t="n">
        <f aca="false">M101*C101</f>
        <v>0</v>
      </c>
      <c r="S101" s="35" t="n">
        <f aca="false">M101*(MINUTE(G101)*60+SECOND(G101))</f>
        <v>0</v>
      </c>
      <c r="T101" s="35" t="n">
        <f aca="false">N101*$C101</f>
        <v>0</v>
      </c>
      <c r="U101" s="35" t="n">
        <f aca="false">N101*(MINUTE($G101)*60+SECOND($G101))</f>
        <v>0</v>
      </c>
      <c r="V101" s="35" t="n">
        <f aca="false">O101*$C101</f>
        <v>0</v>
      </c>
      <c r="W101" s="35" t="n">
        <f aca="false">O101*(MINUTE($G101)*60+SECOND($G101))</f>
        <v>0</v>
      </c>
      <c r="X101" s="35" t="n">
        <f aca="false">P101*$C101</f>
        <v>0</v>
      </c>
      <c r="Y101" s="35" t="n">
        <f aca="false">P101*(MINUTE($G101)*60+SECOND($G101))</f>
        <v>0</v>
      </c>
      <c r="Z101" s="35" t="n">
        <f aca="false">Q101*$C101</f>
        <v>0</v>
      </c>
      <c r="AA101" s="35" t="n">
        <f aca="false">Q101*(MINUTE($G101)*60+SECOND($G101))</f>
        <v>0</v>
      </c>
    </row>
    <row r="102" customFormat="false" ht="12" hidden="false" customHeight="false" outlineLevel="0" collapsed="false"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35" t="n">
        <f aca="false">M102*C102</f>
        <v>0</v>
      </c>
      <c r="S102" s="35" t="n">
        <f aca="false">M102*(MINUTE(G102)*60+SECOND(G102))</f>
        <v>0</v>
      </c>
      <c r="T102" s="35" t="n">
        <f aca="false">N102*$C102</f>
        <v>0</v>
      </c>
      <c r="U102" s="35" t="n">
        <f aca="false">N102*(MINUTE($G102)*60+SECOND($G102))</f>
        <v>0</v>
      </c>
      <c r="V102" s="35" t="n">
        <f aca="false">O102*$C102</f>
        <v>0</v>
      </c>
      <c r="W102" s="35" t="n">
        <f aca="false">O102*(MINUTE($G102)*60+SECOND($G102))</f>
        <v>0</v>
      </c>
      <c r="X102" s="35" t="n">
        <f aca="false">P102*$C102</f>
        <v>0</v>
      </c>
      <c r="Y102" s="35" t="n">
        <f aca="false">P102*(MINUTE($G102)*60+SECOND($G102))</f>
        <v>0</v>
      </c>
      <c r="Z102" s="35" t="n">
        <f aca="false">Q102*$C102</f>
        <v>0</v>
      </c>
      <c r="AA102" s="35" t="n">
        <f aca="false">Q102*(MINUTE($G102)*60+SECOND($G102))</f>
        <v>0</v>
      </c>
    </row>
    <row r="103" customFormat="false" ht="12" hidden="false" customHeight="false" outlineLevel="0" collapsed="false"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35" t="n">
        <f aca="false">M103*C103</f>
        <v>0</v>
      </c>
      <c r="S103" s="35" t="n">
        <f aca="false">M103*(MINUTE(G103)*60+SECOND(G103))</f>
        <v>0</v>
      </c>
      <c r="T103" s="35" t="n">
        <f aca="false">N103*$C103</f>
        <v>0</v>
      </c>
      <c r="U103" s="35" t="n">
        <f aca="false">N103*(MINUTE($G103)*60+SECOND($G103))</f>
        <v>0</v>
      </c>
      <c r="V103" s="35" t="n">
        <f aca="false">O103*$C103</f>
        <v>0</v>
      </c>
      <c r="W103" s="35" t="n">
        <f aca="false">O103*(MINUTE($G103)*60+SECOND($G103))</f>
        <v>0</v>
      </c>
      <c r="X103" s="35" t="n">
        <f aca="false">P103*$C103</f>
        <v>0</v>
      </c>
      <c r="Y103" s="35" t="n">
        <f aca="false">P103*(MINUTE($G103)*60+SECOND($G103))</f>
        <v>0</v>
      </c>
      <c r="Z103" s="35" t="n">
        <f aca="false">Q103*$C103</f>
        <v>0</v>
      </c>
      <c r="AA103" s="35" t="n">
        <f aca="false">Q103*(MINUTE($G103)*60+SECOND($G103))</f>
        <v>0</v>
      </c>
    </row>
    <row r="104" customFormat="false" ht="12" hidden="false" customHeight="false" outlineLevel="0" collapsed="false">
      <c r="A104" s="0" t="s">
        <v>165</v>
      </c>
      <c r="B104" s="0" t="s">
        <v>229</v>
      </c>
      <c r="C104" s="0" t="n">
        <v>3910</v>
      </c>
      <c r="D104" s="0" t="n">
        <v>27.8</v>
      </c>
      <c r="E104" s="0" t="n">
        <v>42.3</v>
      </c>
      <c r="F104" s="0" t="n">
        <v>41.4</v>
      </c>
      <c r="G104" s="88" t="n">
        <v>0.000104166666666667</v>
      </c>
      <c r="H104" s="88" t="n">
        <v>1.15740740740741E-005</v>
      </c>
      <c r="I104" s="88" t="n">
        <v>0</v>
      </c>
      <c r="J104" s="0" t="n">
        <v>0.1</v>
      </c>
      <c r="K104" s="0" t="s">
        <v>230</v>
      </c>
      <c r="L104" s="0" t="n">
        <v>815.1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1</v>
      </c>
      <c r="R104" s="35" t="n">
        <f aca="false">M104*C104</f>
        <v>3910</v>
      </c>
      <c r="S104" s="35" t="n">
        <f aca="false">M104*(MINUTE(G104)*60+SECOND(G104))</f>
        <v>9</v>
      </c>
      <c r="T104" s="35" t="n">
        <f aca="false">N104*$C104</f>
        <v>3910</v>
      </c>
      <c r="U104" s="35" t="n">
        <f aca="false">N104*(MINUTE($G104)*60+SECOND($G104))</f>
        <v>9</v>
      </c>
      <c r="V104" s="35" t="n">
        <f aca="false">O104*$C104</f>
        <v>3910</v>
      </c>
      <c r="W104" s="35" t="n">
        <f aca="false">O104*(MINUTE($G104)*60+SECOND($G104))</f>
        <v>9</v>
      </c>
      <c r="X104" s="35" t="n">
        <f aca="false">P104*$C104</f>
        <v>3910</v>
      </c>
      <c r="Y104" s="35" t="n">
        <f aca="false">P104*(MINUTE($G104)*60+SECOND($G104))</f>
        <v>9</v>
      </c>
      <c r="Z104" s="35" t="n">
        <f aca="false">Q104*$C104</f>
        <v>3910</v>
      </c>
      <c r="AA104" s="35" t="n">
        <f aca="false">Q104*(MINUTE($G104)*60+SECOND($G104))</f>
        <v>9</v>
      </c>
    </row>
    <row r="105" customFormat="false" ht="12" hidden="false" customHeight="false" outlineLevel="0" collapsed="false">
      <c r="A105" s="0" t="s">
        <v>168</v>
      </c>
      <c r="B105" s="0" t="s">
        <v>231</v>
      </c>
      <c r="C105" s="0" t="n">
        <v>3910</v>
      </c>
      <c r="E105" s="0" t="n">
        <v>42.3</v>
      </c>
      <c r="F105" s="0" t="n">
        <v>41.4</v>
      </c>
      <c r="G105" s="88" t="n">
        <v>0.000104166666666667</v>
      </c>
      <c r="H105" s="88" t="n">
        <v>1.15740740740741E-005</v>
      </c>
      <c r="I105" s="88" t="n">
        <v>0</v>
      </c>
      <c r="J105" s="0" t="n">
        <v>0.1</v>
      </c>
      <c r="K105" s="0" t="s">
        <v>230</v>
      </c>
      <c r="L105" s="0" t="n">
        <v>815.1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35" t="n">
        <f aca="false">M105*C105</f>
        <v>0</v>
      </c>
      <c r="S105" s="35" t="n">
        <f aca="false">M105*(MINUTE(G105)*60+SECOND(G105))</f>
        <v>0</v>
      </c>
      <c r="T105" s="35" t="n">
        <f aca="false">N105*$C105</f>
        <v>0</v>
      </c>
      <c r="U105" s="35" t="n">
        <f aca="false">N105*(MINUTE($G105)*60+SECOND($G105))</f>
        <v>0</v>
      </c>
      <c r="V105" s="35" t="n">
        <f aca="false">O105*$C105</f>
        <v>0</v>
      </c>
      <c r="W105" s="35" t="n">
        <f aca="false">O105*(MINUTE($G105)*60+SECOND($G105))</f>
        <v>0</v>
      </c>
      <c r="X105" s="35" t="n">
        <f aca="false">P105*$C105</f>
        <v>0</v>
      </c>
      <c r="Y105" s="35" t="n">
        <f aca="false">P105*(MINUTE($G105)*60+SECOND($G105))</f>
        <v>0</v>
      </c>
      <c r="Z105" s="35" t="n">
        <f aca="false">Q105*$C105</f>
        <v>0</v>
      </c>
      <c r="AA105" s="35" t="n">
        <f aca="false">Q105*(MINUTE($G105)*60+SECOND($G105))</f>
        <v>0</v>
      </c>
    </row>
    <row r="106" customFormat="false" ht="13" hidden="false" customHeight="false" outlineLevel="0" collapsed="false">
      <c r="T106" s="0"/>
    </row>
    <row r="107" customFormat="false" ht="13" hidden="false" customHeight="false" outlineLevel="0" collapsed="false">
      <c r="R107" s="89" t="n">
        <f aca="false">SUM(R23:R105)</f>
        <v>16422</v>
      </c>
      <c r="S107" s="90" t="n">
        <f aca="false">SUM(S23:S105)</f>
        <v>1539</v>
      </c>
      <c r="T107" s="90" t="n">
        <f aca="false">SUM(T23:T105)</f>
        <v>9726</v>
      </c>
      <c r="U107" s="90" t="n">
        <f aca="false">SUM(U23:U105)</f>
        <v>2304</v>
      </c>
      <c r="V107" s="90" t="n">
        <f aca="false">SUM(V23:V105)</f>
        <v>8593</v>
      </c>
      <c r="W107" s="90" t="n">
        <f aca="false">SUM(W23:W105)</f>
        <v>1939</v>
      </c>
      <c r="X107" s="90" t="n">
        <f aca="false">SUM(X23:X105)</f>
        <v>13680</v>
      </c>
      <c r="Y107" s="90" t="n">
        <f aca="false">SUM(Y23:Y105)</f>
        <v>558</v>
      </c>
      <c r="Z107" s="90" t="n">
        <f aca="false">SUM(Z23:Z105)</f>
        <v>11863</v>
      </c>
      <c r="AA107" s="91" t="n">
        <f aca="false">SUM(AA23:AA105)</f>
        <v>179</v>
      </c>
    </row>
    <row r="108" customFormat="false" ht="12" hidden="false" customHeight="false" outlineLevel="0" collapsed="false">
      <c r="T108" s="0"/>
    </row>
    <row r="109" customFormat="false" ht="12" hidden="false" customHeight="false" outlineLevel="0" collapsed="false">
      <c r="T109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2001-02-11T05:18:43Z</dcterms:created>
  <dc:creator>sesh</dc:creator>
  <dc:description/>
  <dc:language>en-AU</dc:language>
  <cp:lastModifiedBy>Sesh</cp:lastModifiedBy>
  <cp:lastPrinted>2001-02-11T14:32:57Z</cp:lastPrinted>
  <cp:revision>0</cp:revision>
  <dc:subject/>
  <dc:title/>
</cp:coreProperties>
</file>